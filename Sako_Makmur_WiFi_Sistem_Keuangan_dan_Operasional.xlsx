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elanggan" sheetId="2" state="visible" r:id="rId2"/>
    <sheet xmlns:r="http://schemas.openxmlformats.org/officeDocument/2006/relationships" name="Pengeluaran_OPEX" sheetId="3" state="visible" r:id="rId3"/>
    <sheet xmlns:r="http://schemas.openxmlformats.org/officeDocument/2006/relationships" name="Struktur_Investor" sheetId="4" state="visible" r:id="rId4"/>
    <sheet xmlns:r="http://schemas.openxmlformats.org/officeDocument/2006/relationships" name="Aset_CAPEX" sheetId="5" state="visible" r:id="rId5"/>
    <sheet xmlns:r="http://schemas.openxmlformats.org/officeDocument/2006/relationships" name="Tutup_Buku_Histori" sheetId="6" state="visible" r:id="rId6"/>
    <sheet xmlns:r="http://schemas.openxmlformats.org/officeDocument/2006/relationships" name="Simulator_Finansial" sheetId="7" state="visible" r:id="rId7"/>
    <sheet xmlns:r="http://schemas.openxmlformats.org/officeDocument/2006/relationships" name="Kwitansi_Pelanggan" sheetId="8" state="visible" r:id="rId8"/>
    <sheet xmlns:r="http://schemas.openxmlformats.org/officeDocument/2006/relationships" name="Format_Laporan_WhatsApp" sheetId="9" state="visible" r:id="rId9"/>
    <sheet xmlns:r="http://schemas.openxmlformats.org/officeDocument/2006/relationships" name="Aturan_Bisnis_SO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Rp #,##0"/>
    <numFmt numFmtId="166" formatCode="0.0 &quot;Bulan&quot;"/>
    <numFmt numFmtId="167" formatCode="yyyy-mm-dd"/>
  </numFmts>
  <fonts count="24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0"/>
    </font>
    <font>
      <name val="Segoe UI"/>
      <b val="1"/>
      <color rgb="00FFFFFF"/>
      <sz val="10"/>
    </font>
    <font>
      <name val="Segoe UI"/>
      <b val="1"/>
      <color rgb="000F172A"/>
      <sz val="12"/>
    </font>
    <font>
      <name val="Segoe UI"/>
      <b val="1"/>
      <color rgb="0064748B"/>
      <sz val="9"/>
    </font>
    <font>
      <name val="Segoe UI"/>
      <b val="1"/>
      <color rgb="000F172A"/>
      <sz val="14"/>
    </font>
    <font>
      <name val="Segoe UI"/>
      <b val="1"/>
      <color rgb="00000000"/>
      <sz val="10"/>
    </font>
    <font>
      <name val="Segoe UI"/>
      <b val="1"/>
      <color rgb="000F172A"/>
      <sz val="10"/>
    </font>
    <font>
      <name val="Segoe UI"/>
      <color rgb="00000000"/>
      <sz val="10"/>
    </font>
    <font>
      <name val="Segoe UI"/>
      <b val="1"/>
      <color rgb="00065F46"/>
      <sz val="10"/>
    </font>
    <font>
      <name val="Segoe UI"/>
      <b val="1"/>
      <color rgb="0092400E"/>
      <sz val="9"/>
    </font>
    <font>
      <name val="Segoe UI"/>
      <b val="1"/>
      <color rgb="0092400E"/>
      <sz val="10"/>
    </font>
    <font>
      <name val="Segoe UI"/>
      <color rgb="0064748B"/>
      <sz val="9"/>
    </font>
    <font>
      <name val="Segoe UI"/>
      <b val="1"/>
      <color rgb="00065F46"/>
      <sz val="14"/>
    </font>
    <font>
      <name val="Segoe UI"/>
      <b val="1"/>
      <color rgb="00065F46"/>
      <sz val="9"/>
    </font>
    <font>
      <name val="Segoe UI"/>
      <b val="1"/>
      <color rgb="000284C7"/>
      <sz val="11"/>
    </font>
    <font>
      <name val="Segoe UI"/>
      <b val="1"/>
      <color rgb="00FFFFFF"/>
      <sz val="11"/>
    </font>
    <font>
      <name val="Segoe UI"/>
      <b val="1"/>
      <color rgb="00065F46"/>
      <sz val="12"/>
    </font>
    <font>
      <name val="Segoe UI"/>
      <i val="1"/>
      <color rgb="0064748B"/>
      <sz val="9"/>
    </font>
    <font>
      <name val="Segoe UI"/>
      <color rgb="000F172A"/>
      <sz val="9"/>
    </font>
    <font>
      <name val="Segoe UI"/>
      <b val="1"/>
      <color rgb="009F1239"/>
      <sz val="9"/>
    </font>
    <font>
      <name val="Consolas"/>
      <color rgb="000F172A"/>
      <sz val="9"/>
    </font>
    <font>
      <name val="Consolas"/>
      <color rgb="00065F46"/>
      <sz val="9"/>
    </font>
  </fonts>
  <fills count="12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FE4E6"/>
        <bgColor rgb="00FFE4E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00000"/>
      </top>
      <bottom style="double">
        <color rgb="00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0" borderId="1" pivotButton="0" quotePrefix="0" xfId="0"/>
    <xf numFmtId="0" fontId="9" fillId="0" borderId="1" pivotButton="0" quotePrefix="0" xfId="0"/>
    <xf numFmtId="164" fontId="7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/>
    </xf>
    <xf numFmtId="0" fontId="7" fillId="7" borderId="2" pivotButton="0" quotePrefix="0" xfId="0"/>
    <xf numFmtId="0" fontId="7" fillId="7" borderId="2" applyAlignment="1" pivotButton="0" quotePrefix="0" xfId="0">
      <alignment horizontal="center" vertical="center"/>
    </xf>
    <xf numFmtId="165" fontId="7" fillId="7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pivotButton="0" quotePrefix="0" xfId="0"/>
    <xf numFmtId="165" fontId="9" fillId="8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center" vertical="center"/>
    </xf>
    <xf numFmtId="0" fontId="0" fillId="7" borderId="2" pivotButton="0" quotePrefix="0" xfId="0"/>
    <xf numFmtId="0" fontId="0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3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13" fillId="0" borderId="1" pivotButton="0" quotePrefix="0" xfId="0"/>
    <xf numFmtId="165" fontId="13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3" fontId="7" fillId="10" borderId="1" applyAlignment="1" pivotButton="0" quotePrefix="0" xfId="0">
      <alignment horizontal="right" vertical="center"/>
    </xf>
    <xf numFmtId="165" fontId="7" fillId="10" borderId="1" applyAlignment="1" pivotButton="0" quotePrefix="0" xfId="0">
      <alignment horizontal="right" vertical="center"/>
    </xf>
    <xf numFmtId="0" fontId="7" fillId="5" borderId="1" pivotButton="0" quotePrefix="0" xfId="0"/>
    <xf numFmtId="0" fontId="0" fillId="5" borderId="1" pivotButton="0" quotePrefix="0" xfId="0"/>
    <xf numFmtId="165" fontId="7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16" fillId="10" borderId="1" applyAlignment="1" pivotButton="0" quotePrefix="0" xfId="0">
      <alignment horizontal="center" vertical="center"/>
    </xf>
    <xf numFmtId="0" fontId="17" fillId="9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7" fontId="9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165" fontId="18" fillId="5" borderId="1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11" borderId="1" applyAlignment="1" pivotButton="0" quotePrefix="0" xfId="0">
      <alignment horizontal="left" vertical="center"/>
    </xf>
    <xf numFmtId="0" fontId="22" fillId="8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7" fillId="8" borderId="1" pivotButton="0" quotePrefix="0" xfId="0"/>
  </cellXfs>
  <cellStyles count="1">
    <cellStyle name="Normal" xfId="0" builtinId="0" hidden="0"/>
  </cellStyles>
  <dxfs count="2">
    <dxf>
      <font>
        <name val="Segoe UI"/>
        <b val="1"/>
        <color rgb="00166534"/>
        <sz val="10"/>
      </font>
      <fill>
        <patternFill patternType="solid">
          <fgColor rgb="00DCFCE7"/>
          <bgColor rgb="00DCFCE7"/>
        </patternFill>
      </fill>
    </dxf>
    <dxf>
      <font>
        <name val="Segoe UI"/>
        <b val="1"/>
        <color rgb="00991B1B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22" customWidth="1" min="4" max="4"/>
    <col width="14" customWidth="1" min="5" max="5"/>
    <col width="22" customWidth="1" min="6" max="6"/>
    <col width="22" customWidth="1" min="7" max="7"/>
    <col width="24" customWidth="1" min="8" max="8"/>
    <col width="6" customWidth="1" min="9" max="9"/>
  </cols>
  <sheetData>
    <row r="2">
      <c r="B2" s="1" t="inlineStr">
        <is>
          <t>SAKO MAKMUR WIFI - NETOS EXECUTIVE DASHBOARD</t>
        </is>
      </c>
    </row>
    <row r="3">
      <c r="B3" s="2" t="inlineStr">
        <is>
          <t>Konsorsium Starlink Hybrid FO | Monitoring Siklus Operasional &amp; Dividen Investor</t>
        </is>
      </c>
    </row>
    <row r="5">
      <c r="B5" s="3" t="inlineStr">
        <is>
          <t>Siklus Aktif: Oktober 2026 | Tagihan Terbit: Tgl 10 Okt • Jatuh Tempo: Tgl 18 Okt • Tutup Buku: Tgl 25 Okt</t>
        </is>
      </c>
    </row>
    <row r="7">
      <c r="B7" s="4" t="inlineStr">
        <is>
          <t>1. RINGKASAN PELANGGAN &amp; OMZET BULAN BERJALAN (OKTOBER 2026)</t>
        </is>
      </c>
    </row>
    <row r="8">
      <c r="B8" s="5" t="inlineStr">
        <is>
          <t>TOTAL PELANGGAN</t>
        </is>
      </c>
      <c r="C8" s="6" t="n"/>
      <c r="D8" s="5" t="inlineStr">
        <is>
          <t>PELANGGAN LUNAS</t>
        </is>
      </c>
      <c r="E8" s="6" t="n"/>
      <c r="F8" s="5" t="inlineStr">
        <is>
          <t>BELUM BAYAR</t>
        </is>
      </c>
      <c r="G8" s="6" t="n"/>
      <c r="H8" s="5" t="inlineStr">
        <is>
          <t>PERSENTASE LUNAS</t>
        </is>
      </c>
      <c r="I8" s="6" t="n"/>
    </row>
    <row r="9">
      <c r="B9" s="7">
        <f>COUNTA(Pelanggan!B6:B22)</f>
        <v/>
      </c>
      <c r="C9" s="6" t="n"/>
      <c r="D9" s="7">
        <f>COUNTIF(Pelanggan!I6:I22, "Lunas")</f>
        <v/>
      </c>
      <c r="E9" s="6" t="n"/>
      <c r="F9" s="7">
        <f>COUNTIF(Pelanggan!I6:I22, "Belum Bayar")</f>
        <v/>
      </c>
      <c r="G9" s="6" t="n"/>
      <c r="H9" s="8">
        <f>D9/B9</f>
        <v/>
      </c>
      <c r="I9" s="6" t="n"/>
    </row>
    <row r="11">
      <c r="B11" s="4" t="inlineStr">
        <is>
          <t>2. ARUS KAS &amp; BEBAN OPERASIONAL (OPEX)</t>
        </is>
      </c>
    </row>
    <row r="12">
      <c r="B12" s="9" t="inlineStr">
        <is>
          <t>Parameter Keuangan</t>
        </is>
      </c>
      <c r="D12" s="9" t="inlineStr">
        <is>
          <t>Keterangan / Rumus</t>
        </is>
      </c>
      <c r="F12" s="9" t="inlineStr">
        <is>
          <t>Nominal (Rp)</t>
        </is>
      </c>
      <c r="H12" s="9" t="inlineStr">
        <is>
          <t>Status / Catatan</t>
        </is>
      </c>
    </row>
    <row r="13">
      <c r="B13" s="10" t="inlineStr">
        <is>
          <t>Kas Masuk Terkumpul (Omzet Riil)</t>
        </is>
      </c>
      <c r="C13" s="6" t="n"/>
      <c r="D13" s="11" t="inlineStr">
        <is>
          <t>Total iuran dari pelanggan yang sudah lunas</t>
        </is>
      </c>
      <c r="E13" s="6" t="n"/>
      <c r="F13" s="12">
        <f>SUMIF(Pelanggan!I6:I22, "Lunas", Pelanggan!F6:F22)</f>
        <v/>
      </c>
      <c r="G13" s="6" t="n"/>
      <c r="H13" s="13" t="inlineStr">
        <is>
          <t>Terkumpul di Bendahara</t>
        </is>
      </c>
      <c r="I13" s="6" t="n"/>
    </row>
    <row r="14">
      <c r="B14" s="14" t="inlineStr">
        <is>
          <t>Potensi Kas Penuh (100%)</t>
        </is>
      </c>
      <c r="C14" s="6" t="n"/>
      <c r="D14" s="11" t="inlineStr">
        <is>
          <t>Kapasitas penuh 17 user jika seluruhnya bayar</t>
        </is>
      </c>
      <c r="E14" s="6" t="n"/>
      <c r="F14" s="15">
        <f>SUM(Pelanggan!F6:F22)</f>
        <v/>
      </c>
      <c r="G14" s="6" t="n"/>
      <c r="H14" s="13" t="inlineStr">
        <is>
          <t>Target Kapasitas Penuh</t>
        </is>
      </c>
      <c r="I14" s="6" t="n"/>
    </row>
    <row r="15">
      <c r="B15" s="14" t="inlineStr">
        <is>
          <t>Piutang Tagihan Tertunggak</t>
        </is>
      </c>
      <c r="C15" s="6" t="n"/>
      <c r="D15" s="11" t="inlineStr">
        <is>
          <t>Tagihan yang belum dibayarkan (Belum Bayar)</t>
        </is>
      </c>
      <c r="E15" s="6" t="n"/>
      <c r="F15" s="15">
        <f>F14-F13</f>
        <v/>
      </c>
      <c r="G15" s="6" t="n"/>
      <c r="H15" s="13" t="inlineStr">
        <is>
          <t>Jatuh tempo tgl 18</t>
        </is>
      </c>
      <c r="I15" s="6" t="n"/>
    </row>
    <row r="16">
      <c r="B16" s="10" t="inlineStr">
        <is>
          <t>Total Beban OPEX Rutin</t>
        </is>
      </c>
      <c r="C16" s="6" t="n"/>
      <c r="D16" s="11" t="inlineStr">
        <is>
          <t>Starlink + PLN + Gaji Operator + Marketing + Jasa Tagih</t>
        </is>
      </c>
      <c r="E16" s="6" t="n"/>
      <c r="F16" s="15">
        <f>Pengeluaran_OPEX!E12</f>
        <v/>
      </c>
      <c r="G16" s="6" t="n"/>
      <c r="H16" s="13" t="inlineStr">
        <is>
          <t>Beban Operasional Berjalan</t>
        </is>
      </c>
      <c r="I16" s="6" t="n"/>
    </row>
    <row r="17">
      <c r="B17" s="14" t="inlineStr">
        <is>
          <t>Cadangan Kas Siaga (10%)</t>
        </is>
      </c>
      <c r="C17" s="6" t="n"/>
      <c r="D17" s="11" t="inlineStr">
        <is>
          <t>10% dialokasikan ke Rekening Cadangan Maintenance</t>
        </is>
      </c>
      <c r="E17" s="6" t="n"/>
      <c r="F17" s="15">
        <f>F13*0.1</f>
        <v/>
      </c>
      <c r="G17" s="6" t="n"/>
      <c r="H17" s="13" t="inlineStr">
        <is>
          <t>Tabungan Darurat Jaringan</t>
        </is>
      </c>
      <c r="I17" s="6" t="n"/>
    </row>
    <row r="18">
      <c r="B18" s="16" t="inlineStr">
        <is>
          <t>Laba Bersih Operasional (Net Profit)</t>
        </is>
      </c>
      <c r="C18" s="6" t="n"/>
      <c r="D18" s="17" t="inlineStr">
        <is>
          <t>Kas Masuk - Total Beban OPEX - Cadangan Kas 10%</t>
        </is>
      </c>
      <c r="E18" s="6" t="n"/>
      <c r="F18" s="18">
        <f>MAX(0, F13-F16-F17)</f>
        <v/>
      </c>
      <c r="G18" s="6" t="n"/>
      <c r="H18" s="19" t="inlineStr">
        <is>
          <t>Siap Dibagikan Tgl 25</t>
        </is>
      </c>
      <c r="I18" s="6" t="n"/>
    </row>
    <row r="20">
      <c r="B20" s="4" t="inlineStr">
        <is>
          <t>3. HAK DIVIDEN INVESTOR KONSORSIUM (OKTOBER 2026)</t>
        </is>
      </c>
    </row>
    <row r="21">
      <c r="B21" s="20" t="inlineStr">
        <is>
          <t>Investor</t>
        </is>
      </c>
      <c r="C21" s="20" t="inlineStr">
        <is>
          <t>Peran</t>
        </is>
      </c>
      <c r="D21" s="20" t="inlineStr">
        <is>
          <t>Modal Disetor (Rp)</t>
        </is>
      </c>
      <c r="E21" s="20" t="inlineStr">
        <is>
          <t>Saham (%)</t>
        </is>
      </c>
      <c r="F21" s="20" t="inlineStr">
        <is>
          <t>Estimasi Dividen (Rp)</t>
        </is>
      </c>
      <c r="G21" s="20" t="inlineStr">
        <is>
          <t>Penjamin Aset Fisik (Rp)</t>
        </is>
      </c>
      <c r="H21" s="20" t="inlineStr">
        <is>
          <t>Status Transfer</t>
        </is>
      </c>
    </row>
    <row r="22">
      <c r="B22" s="21" t="inlineStr">
        <is>
          <t>Ahmad Fauzi</t>
        </is>
      </c>
      <c r="C22" s="22" t="inlineStr">
        <is>
          <t>Investor</t>
        </is>
      </c>
      <c r="D22" s="15" t="n">
        <v>15000000</v>
      </c>
      <c r="E22" s="23" t="n">
        <v>0.6</v>
      </c>
      <c r="F22" s="24">
        <f>F18*E22</f>
        <v/>
      </c>
      <c r="G22" s="15">
        <f>Aset_CAPEX!G17*E22</f>
        <v/>
      </c>
      <c r="H22" s="25" t="inlineStr">
        <is>
          <t>Pending (Tgl 25 Okt)</t>
        </is>
      </c>
    </row>
    <row r="23">
      <c r="B23" s="21" t="inlineStr">
        <is>
          <t>Anwar Khadafi Saimona</t>
        </is>
      </c>
      <c r="C23" s="22" t="inlineStr">
        <is>
          <t>Investor</t>
        </is>
      </c>
      <c r="D23" s="15" t="n">
        <v>5000000</v>
      </c>
      <c r="E23" s="23" t="n">
        <v>0.2</v>
      </c>
      <c r="F23" s="24">
        <f>F18*E23</f>
        <v/>
      </c>
      <c r="G23" s="15">
        <f>Aset_CAPEX!G17*E23</f>
        <v/>
      </c>
      <c r="H23" s="25" t="inlineStr">
        <is>
          <t>Pending (Tgl 25 Okt)</t>
        </is>
      </c>
    </row>
    <row r="24">
      <c r="B24" s="21" t="inlineStr">
        <is>
          <t>Tri Wahyono</t>
        </is>
      </c>
      <c r="C24" s="22" t="inlineStr">
        <is>
          <t>Managing Owner</t>
        </is>
      </c>
      <c r="D24" s="15" t="n">
        <v>5000000</v>
      </c>
      <c r="E24" s="23" t="n">
        <v>0.2</v>
      </c>
      <c r="F24" s="24">
        <f>F18*E24</f>
        <v/>
      </c>
      <c r="G24" s="15">
        <f>Aset_CAPEX!G17*E24</f>
        <v/>
      </c>
      <c r="H24" s="25" t="inlineStr">
        <is>
          <t>Pending (Tgl 25 Okt)</t>
        </is>
      </c>
    </row>
    <row r="25">
      <c r="B25" s="26" t="inlineStr">
        <is>
          <t>TOTAL KONSORSIUM</t>
        </is>
      </c>
      <c r="C25" s="27" t="inlineStr">
        <is>
          <t>3 Anggota</t>
        </is>
      </c>
      <c r="D25" s="28">
        <f>SUM(D22:D24)</f>
        <v/>
      </c>
      <c r="E25" s="29">
        <f>SUM(E22:E24)</f>
        <v/>
      </c>
      <c r="F25" s="28">
        <f>SUM(F22:F24)</f>
        <v/>
      </c>
      <c r="G25" s="28">
        <f>SUM(G22:G24)</f>
        <v/>
      </c>
      <c r="H25" s="27" t="inlineStr">
        <is>
          <t>Siap Bagi 25 Okt</t>
        </is>
      </c>
    </row>
    <row r="27">
      <c r="B27" s="4" t="inlineStr">
        <is>
          <t>4. CATATAN RESMI TUTUP BUKU SEBELUMNYA (SEPTEMBER 2026 - LUNAS TUNTAS ✅)</t>
        </is>
      </c>
    </row>
    <row r="28">
      <c r="B28" s="30" t="inlineStr">
        <is>
          <t>Arsip September 2026: Omzet Rp 2.600.000 | OPEX Rp 2.015.000 | Cadangan Kas Rp 260.000 | Laba Bersih Rp 585.000</t>
        </is>
      </c>
    </row>
    <row r="29">
      <c r="B29" s="13" t="inlineStr">
        <is>
          <t>Dividen Lunas Dibagikan: Ahmad Fauzi Rp 351.000 (60%) • Anwar Khadafi S. Rp 117.000 (20%) • Tri Wahyono Rp 117.000 (20%)</t>
        </is>
      </c>
    </row>
  </sheetData>
  <mergeCells count="39">
    <mergeCell ref="B16:C16"/>
    <mergeCell ref="F16:G16"/>
    <mergeCell ref="B18:C18"/>
    <mergeCell ref="H9:I9"/>
    <mergeCell ref="B12:C12"/>
    <mergeCell ref="F12:G12"/>
    <mergeCell ref="F15:G15"/>
    <mergeCell ref="D13:E13"/>
    <mergeCell ref="F18:G18"/>
    <mergeCell ref="B14:C14"/>
    <mergeCell ref="B17:C17"/>
    <mergeCell ref="B8:C8"/>
    <mergeCell ref="D17:E17"/>
    <mergeCell ref="F17:G17"/>
    <mergeCell ref="F8:G8"/>
    <mergeCell ref="B13:C13"/>
    <mergeCell ref="H17:I17"/>
    <mergeCell ref="D16:E16"/>
    <mergeCell ref="B29:I29"/>
    <mergeCell ref="H16:I16"/>
    <mergeCell ref="B28:I28"/>
    <mergeCell ref="F13:G13"/>
    <mergeCell ref="B9:C9"/>
    <mergeCell ref="D18:E18"/>
    <mergeCell ref="H13:I13"/>
    <mergeCell ref="D9:E9"/>
    <mergeCell ref="H14:I14"/>
    <mergeCell ref="F9:G9"/>
    <mergeCell ref="D12:E12"/>
    <mergeCell ref="D8:E8"/>
    <mergeCell ref="H12:I12"/>
    <mergeCell ref="B15:C15"/>
    <mergeCell ref="D15:E15"/>
    <mergeCell ref="H15:I15"/>
    <mergeCell ref="H18:I18"/>
    <mergeCell ref="D14:E14"/>
    <mergeCell ref="B5:I5"/>
    <mergeCell ref="F14:G14"/>
    <mergeCell ref="H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2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4" customWidth="1" min="4" max="4"/>
    <col width="14" customWidth="1" min="5" max="5"/>
    <col width="18" customWidth="1" min="6" max="6"/>
    <col width="16" customWidth="1" min="7" max="7"/>
    <col width="14" customWidth="1" min="8" max="8"/>
    <col width="20" customWidth="1" min="9" max="9"/>
    <col width="18" customWidth="1" min="10" max="10"/>
    <col width="18" customWidth="1" min="11" max="11"/>
    <col width="14" customWidth="1" min="12" max="12"/>
    <col width="20" customWidth="1" min="13" max="13"/>
  </cols>
  <sheetData>
    <row r="2">
      <c r="B2" s="1" t="inlineStr">
        <is>
          <t>DAFTAR PELANGGAN AKTIF SAKO MAKMUR WIFI</t>
        </is>
      </c>
    </row>
    <row r="3">
      <c r="B3" s="2" t="inlineStr">
        <is>
          <t>Total 17 Pelanggan | Status Pembayaran Siklus Oktober 2026 (Jatuh Tempo Tgl 18)</t>
        </is>
      </c>
    </row>
    <row r="5">
      <c r="A5" s="20" t="inlineStr">
        <is>
          <t>No</t>
        </is>
      </c>
      <c r="B5" s="20" t="inlineStr">
        <is>
          <t>Username PPPoE</t>
        </is>
      </c>
      <c r="C5" s="20" t="inlineStr">
        <is>
          <t>Nama Pelanggan</t>
        </is>
      </c>
      <c r="D5" s="20" t="inlineStr">
        <is>
          <t>Paket Internet</t>
        </is>
      </c>
      <c r="E5" s="20" t="inlineStr">
        <is>
          <t>Kecepatan</t>
        </is>
      </c>
      <c r="F5" s="20" t="inlineStr">
        <is>
          <t>Tarif Bulanan (Rp)</t>
        </is>
      </c>
      <c r="G5" s="20" t="inlineStr">
        <is>
          <t>Biaya Pasang (Rp)</t>
        </is>
      </c>
      <c r="H5" s="20" t="inlineStr">
        <is>
          <t>Jatuh Tempo</t>
        </is>
      </c>
      <c r="I5" s="20" t="inlineStr">
        <is>
          <t>Status Pembayaran</t>
        </is>
      </c>
      <c r="J5" s="20" t="inlineStr">
        <is>
          <t>Metode Pembayaran</t>
        </is>
      </c>
      <c r="K5" s="20" t="inlineStr">
        <is>
          <t>Tgl Bayar Terakhir</t>
        </is>
      </c>
      <c r="L5" s="20" t="inlineStr">
        <is>
          <t>Status Router</t>
        </is>
      </c>
      <c r="M5" s="20" t="inlineStr">
        <is>
          <t>Alamat / Dusun</t>
        </is>
      </c>
    </row>
    <row r="6">
      <c r="A6" s="31" t="n">
        <v>1</v>
      </c>
      <c r="B6" s="32" t="inlineStr">
        <is>
          <t>topik-123</t>
        </is>
      </c>
      <c r="C6" s="32" t="inlineStr">
        <is>
          <t>Topik</t>
        </is>
      </c>
      <c r="D6" s="32" t="inlineStr">
        <is>
          <t>Paket Up to 5 Mbps</t>
        </is>
      </c>
      <c r="E6" s="31" t="inlineStr">
        <is>
          <t>5 Mbps</t>
        </is>
      </c>
      <c r="F6" s="33" t="n">
        <v>250000</v>
      </c>
      <c r="G6" s="33" t="n">
        <v>0</v>
      </c>
      <c r="H6" s="31" t="n">
        <v>18</v>
      </c>
      <c r="I6" s="34" t="inlineStr">
        <is>
          <t>Belum Bayar</t>
        </is>
      </c>
      <c r="J6" s="32" t="inlineStr">
        <is>
          <t>-</t>
        </is>
      </c>
      <c r="K6" s="31" t="inlineStr">
        <is>
          <t>2026-09-25</t>
        </is>
      </c>
      <c r="L6" s="31" t="inlineStr">
        <is>
          <t>Aktif</t>
        </is>
      </c>
      <c r="M6" s="32" t="inlineStr">
        <is>
          <t>Sako Makmur</t>
        </is>
      </c>
    </row>
    <row r="7">
      <c r="A7" s="13" t="n">
        <v>2</v>
      </c>
      <c r="B7" s="22" t="inlineStr">
        <is>
          <t>sidiq-123</t>
        </is>
      </c>
      <c r="C7" s="22" t="inlineStr">
        <is>
          <t>Sidiq</t>
        </is>
      </c>
      <c r="D7" s="22" t="inlineStr">
        <is>
          <t>Paket Up to 5 Mbps</t>
        </is>
      </c>
      <c r="E7" s="13" t="inlineStr">
        <is>
          <t>5 Mbps</t>
        </is>
      </c>
      <c r="F7" s="15" t="n">
        <v>250000</v>
      </c>
      <c r="G7" s="15" t="n">
        <v>0</v>
      </c>
      <c r="H7" s="13" t="n">
        <v>18</v>
      </c>
      <c r="I7" s="34" t="inlineStr">
        <is>
          <t>Belum Bayar</t>
        </is>
      </c>
      <c r="J7" s="22" t="inlineStr">
        <is>
          <t>-</t>
        </is>
      </c>
      <c r="K7" s="13" t="inlineStr">
        <is>
          <t>2026-09-25</t>
        </is>
      </c>
      <c r="L7" s="13" t="inlineStr">
        <is>
          <t>Aktif</t>
        </is>
      </c>
      <c r="M7" s="22" t="inlineStr">
        <is>
          <t>Sako Makmur</t>
        </is>
      </c>
    </row>
    <row r="8">
      <c r="A8" s="31" t="n">
        <v>3</v>
      </c>
      <c r="B8" s="32" t="inlineStr">
        <is>
          <t>jaka-123</t>
        </is>
      </c>
      <c r="C8" s="32" t="inlineStr">
        <is>
          <t>Jaka</t>
        </is>
      </c>
      <c r="D8" s="32" t="inlineStr">
        <is>
          <t>Paket Up to 5 Mbps</t>
        </is>
      </c>
      <c r="E8" s="31" t="inlineStr">
        <is>
          <t>5 Mbps</t>
        </is>
      </c>
      <c r="F8" s="33" t="n">
        <v>200000</v>
      </c>
      <c r="G8" s="33" t="n">
        <v>0</v>
      </c>
      <c r="H8" s="31" t="n">
        <v>18</v>
      </c>
      <c r="I8" s="34" t="inlineStr">
        <is>
          <t>Belum Bayar</t>
        </is>
      </c>
      <c r="J8" s="32" t="inlineStr">
        <is>
          <t>-</t>
        </is>
      </c>
      <c r="K8" s="31" t="inlineStr">
        <is>
          <t>2026-09-25</t>
        </is>
      </c>
      <c r="L8" s="31" t="inlineStr">
        <is>
          <t>Aktif</t>
        </is>
      </c>
      <c r="M8" s="32" t="inlineStr">
        <is>
          <t>Sako Makmur</t>
        </is>
      </c>
    </row>
    <row r="9">
      <c r="A9" s="13" t="n">
        <v>4</v>
      </c>
      <c r="B9" s="22" t="inlineStr">
        <is>
          <t>gunawan-123</t>
        </is>
      </c>
      <c r="C9" s="22" t="inlineStr">
        <is>
          <t>Mbah Gun</t>
        </is>
      </c>
      <c r="D9" s="22" t="inlineStr">
        <is>
          <t>Paket Up to 5 Mbps</t>
        </is>
      </c>
      <c r="E9" s="13" t="inlineStr">
        <is>
          <t>5 Mbps</t>
        </is>
      </c>
      <c r="F9" s="15" t="n">
        <v>250000</v>
      </c>
      <c r="G9" s="15" t="n">
        <v>0</v>
      </c>
      <c r="H9" s="13" t="n">
        <v>18</v>
      </c>
      <c r="I9" s="34" t="inlineStr">
        <is>
          <t>Belum Bayar</t>
        </is>
      </c>
      <c r="J9" s="22" t="inlineStr">
        <is>
          <t>-</t>
        </is>
      </c>
      <c r="K9" s="13" t="inlineStr">
        <is>
          <t>2026-09-25</t>
        </is>
      </c>
      <c r="L9" s="13" t="inlineStr">
        <is>
          <t>Aktif</t>
        </is>
      </c>
      <c r="M9" s="22" t="inlineStr">
        <is>
          <t>Sako Makmur</t>
        </is>
      </c>
    </row>
    <row r="10">
      <c r="A10" s="31" t="n">
        <v>5</v>
      </c>
      <c r="B10" s="32" t="inlineStr">
        <is>
          <t>ropei-123</t>
        </is>
      </c>
      <c r="C10" s="32" t="inlineStr">
        <is>
          <t>Ropei</t>
        </is>
      </c>
      <c r="D10" s="32" t="inlineStr">
        <is>
          <t>Paket Up to 5 Mbps</t>
        </is>
      </c>
      <c r="E10" s="31" t="inlineStr">
        <is>
          <t>5 Mbps</t>
        </is>
      </c>
      <c r="F10" s="33" t="n">
        <v>200000</v>
      </c>
      <c r="G10" s="33" t="n">
        <v>0</v>
      </c>
      <c r="H10" s="31" t="n">
        <v>18</v>
      </c>
      <c r="I10" s="34" t="inlineStr">
        <is>
          <t>Belum Bayar</t>
        </is>
      </c>
      <c r="J10" s="32" t="inlineStr">
        <is>
          <t>-</t>
        </is>
      </c>
      <c r="K10" s="31" t="inlineStr">
        <is>
          <t>2026-09-25</t>
        </is>
      </c>
      <c r="L10" s="31" t="inlineStr">
        <is>
          <t>Aktif</t>
        </is>
      </c>
      <c r="M10" s="32" t="inlineStr">
        <is>
          <t>Sako Makmur</t>
        </is>
      </c>
    </row>
    <row r="11">
      <c r="A11" s="13" t="n">
        <v>6</v>
      </c>
      <c r="B11" s="22" t="inlineStr">
        <is>
          <t>sis-123</t>
        </is>
      </c>
      <c r="C11" s="22" t="inlineStr">
        <is>
          <t>Mas Sis</t>
        </is>
      </c>
      <c r="D11" s="22" t="inlineStr">
        <is>
          <t>Paket Up to 8 Mbps</t>
        </is>
      </c>
      <c r="E11" s="13" t="inlineStr">
        <is>
          <t>8 Mbps</t>
        </is>
      </c>
      <c r="F11" s="15" t="n">
        <v>250000</v>
      </c>
      <c r="G11" s="15" t="n">
        <v>0</v>
      </c>
      <c r="H11" s="13" t="n">
        <v>18</v>
      </c>
      <c r="I11" s="34" t="inlineStr">
        <is>
          <t>Belum Bayar</t>
        </is>
      </c>
      <c r="J11" s="22" t="inlineStr">
        <is>
          <t>-</t>
        </is>
      </c>
      <c r="K11" s="13" t="inlineStr">
        <is>
          <t>2026-10-02</t>
        </is>
      </c>
      <c r="L11" s="13" t="inlineStr">
        <is>
          <t>Aktif</t>
        </is>
      </c>
      <c r="M11" s="22" t="inlineStr">
        <is>
          <t>Sako Makmur</t>
        </is>
      </c>
    </row>
    <row r="12">
      <c r="A12" s="31" t="n">
        <v>7</v>
      </c>
      <c r="B12" s="32" t="inlineStr">
        <is>
          <t>toni-123</t>
        </is>
      </c>
      <c r="C12" s="32" t="inlineStr">
        <is>
          <t>Mas Toni</t>
        </is>
      </c>
      <c r="D12" s="32" t="inlineStr">
        <is>
          <t>Paket Up to 5 Mbps</t>
        </is>
      </c>
      <c r="E12" s="31" t="inlineStr">
        <is>
          <t>5 Mbps</t>
        </is>
      </c>
      <c r="F12" s="33" t="n">
        <v>200000</v>
      </c>
      <c r="G12" s="33" t="n">
        <v>0</v>
      </c>
      <c r="H12" s="31" t="n">
        <v>18</v>
      </c>
      <c r="I12" s="34" t="inlineStr">
        <is>
          <t>Belum Bayar</t>
        </is>
      </c>
      <c r="J12" s="32" t="inlineStr">
        <is>
          <t>-</t>
        </is>
      </c>
      <c r="K12" s="31" t="inlineStr">
        <is>
          <t>2026-09-25</t>
        </is>
      </c>
      <c r="L12" s="31" t="inlineStr">
        <is>
          <t>Aktif</t>
        </is>
      </c>
      <c r="M12" s="32" t="inlineStr">
        <is>
          <t>Sako Makmur</t>
        </is>
      </c>
    </row>
    <row r="13">
      <c r="A13" s="13" t="n">
        <v>8</v>
      </c>
      <c r="B13" s="22" t="inlineStr">
        <is>
          <t>user-test123</t>
        </is>
      </c>
      <c r="C13" s="22" t="inlineStr">
        <is>
          <t>VERA</t>
        </is>
      </c>
      <c r="D13" s="22" t="inlineStr">
        <is>
          <t>Paket Up to 5 Mbps</t>
        </is>
      </c>
      <c r="E13" s="13" t="inlineStr">
        <is>
          <t>5 Mbps</t>
        </is>
      </c>
      <c r="F13" s="15" t="n">
        <v>250000</v>
      </c>
      <c r="G13" s="15" t="n">
        <v>0</v>
      </c>
      <c r="H13" s="13" t="n">
        <v>18</v>
      </c>
      <c r="I13" s="34" t="inlineStr">
        <is>
          <t>Belum Bayar</t>
        </is>
      </c>
      <c r="J13" s="22" t="inlineStr">
        <is>
          <t>-</t>
        </is>
      </c>
      <c r="K13" s="13" t="inlineStr">
        <is>
          <t>2026-09-25</t>
        </is>
      </c>
      <c r="L13" s="13" t="inlineStr">
        <is>
          <t>Aktif</t>
        </is>
      </c>
      <c r="M13" s="22" t="inlineStr">
        <is>
          <t>Sako Makmur</t>
        </is>
      </c>
    </row>
    <row r="14">
      <c r="A14" s="31" t="n">
        <v>9</v>
      </c>
      <c r="B14" s="32" t="inlineStr">
        <is>
          <t>user-test</t>
        </is>
      </c>
      <c r="C14" s="32" t="inlineStr">
        <is>
          <t>Tembong</t>
        </is>
      </c>
      <c r="D14" s="32" t="inlineStr">
        <is>
          <t>Paket Up to 5 Mbps</t>
        </is>
      </c>
      <c r="E14" s="31" t="inlineStr">
        <is>
          <t>5 Mbps</t>
        </is>
      </c>
      <c r="F14" s="33" t="n">
        <v>200000</v>
      </c>
      <c r="G14" s="33" t="n">
        <v>0</v>
      </c>
      <c r="H14" s="31" t="n">
        <v>18</v>
      </c>
      <c r="I14" s="34" t="inlineStr">
        <is>
          <t>Belum Bayar</t>
        </is>
      </c>
      <c r="J14" s="32" t="inlineStr">
        <is>
          <t>-</t>
        </is>
      </c>
      <c r="K14" s="31" t="inlineStr">
        <is>
          <t>2026-09-25</t>
        </is>
      </c>
      <c r="L14" s="31" t="inlineStr">
        <is>
          <t>Aktif</t>
        </is>
      </c>
      <c r="M14" s="32" t="inlineStr">
        <is>
          <t>Sako Makmur</t>
        </is>
      </c>
    </row>
    <row r="15">
      <c r="A15" s="13" t="n">
        <v>10</v>
      </c>
      <c r="B15" s="22" t="inlineStr">
        <is>
          <t>user-test12</t>
        </is>
      </c>
      <c r="C15" s="22" t="inlineStr">
        <is>
          <t>Yayan</t>
        </is>
      </c>
      <c r="D15" s="22" t="inlineStr">
        <is>
          <t>Paket Up to 5 Mbps</t>
        </is>
      </c>
      <c r="E15" s="13" t="inlineStr">
        <is>
          <t>5 Mbps</t>
        </is>
      </c>
      <c r="F15" s="15" t="n">
        <v>250000</v>
      </c>
      <c r="G15" s="15" t="n">
        <v>0</v>
      </c>
      <c r="H15" s="13" t="n">
        <v>18</v>
      </c>
      <c r="I15" s="34" t="inlineStr">
        <is>
          <t>Belum Bayar</t>
        </is>
      </c>
      <c r="J15" s="22" t="inlineStr">
        <is>
          <t>-</t>
        </is>
      </c>
      <c r="K15" s="13" t="inlineStr">
        <is>
          <t>2026-09-25</t>
        </is>
      </c>
      <c r="L15" s="13" t="inlineStr">
        <is>
          <t>Aktif</t>
        </is>
      </c>
      <c r="M15" s="22" t="inlineStr">
        <is>
          <t>Sako Makmur</t>
        </is>
      </c>
    </row>
    <row r="16">
      <c r="A16" s="31" t="n">
        <v>11</v>
      </c>
      <c r="B16" s="32" t="inlineStr">
        <is>
          <t>user-test1234</t>
        </is>
      </c>
      <c r="C16" s="32" t="inlineStr">
        <is>
          <t>Acim</t>
        </is>
      </c>
      <c r="D16" s="32" t="inlineStr">
        <is>
          <t>Paket Up to 5 Mbps</t>
        </is>
      </c>
      <c r="E16" s="31" t="inlineStr">
        <is>
          <t>5 Mbps</t>
        </is>
      </c>
      <c r="F16" s="33" t="n">
        <v>250000</v>
      </c>
      <c r="G16" s="33" t="n">
        <v>0</v>
      </c>
      <c r="H16" s="31" t="n">
        <v>18</v>
      </c>
      <c r="I16" s="34" t="inlineStr">
        <is>
          <t>Belum Bayar</t>
        </is>
      </c>
      <c r="J16" s="32" t="inlineStr">
        <is>
          <t>-</t>
        </is>
      </c>
      <c r="K16" s="31" t="inlineStr">
        <is>
          <t>2026-09-25</t>
        </is>
      </c>
      <c r="L16" s="31" t="inlineStr">
        <is>
          <t>Aktif</t>
        </is>
      </c>
      <c r="M16" s="32" t="inlineStr">
        <is>
          <t>Sako Makmur</t>
        </is>
      </c>
    </row>
    <row r="17">
      <c r="A17" s="13" t="n">
        <v>12</v>
      </c>
      <c r="B17" s="22" t="inlineStr">
        <is>
          <t>user-test12345</t>
        </is>
      </c>
      <c r="C17" s="22" t="inlineStr">
        <is>
          <t>BuSupri</t>
        </is>
      </c>
      <c r="D17" s="22" t="inlineStr">
        <is>
          <t>Paket Up to 5 Mbps</t>
        </is>
      </c>
      <c r="E17" s="13" t="inlineStr">
        <is>
          <t>5 Mbps</t>
        </is>
      </c>
      <c r="F17" s="15" t="n">
        <v>250000</v>
      </c>
      <c r="G17" s="15" t="n">
        <v>0</v>
      </c>
      <c r="H17" s="13" t="n">
        <v>18</v>
      </c>
      <c r="I17" s="34" t="inlineStr">
        <is>
          <t>Belum Bayar</t>
        </is>
      </c>
      <c r="J17" s="22" t="inlineStr">
        <is>
          <t>-</t>
        </is>
      </c>
      <c r="K17" s="13" t="inlineStr">
        <is>
          <t>2026-09-25</t>
        </is>
      </c>
      <c r="L17" s="13" t="inlineStr">
        <is>
          <t>Aktif</t>
        </is>
      </c>
      <c r="M17" s="22" t="inlineStr">
        <is>
          <t>Sako Makmur</t>
        </is>
      </c>
    </row>
    <row r="18">
      <c r="A18" s="31" t="n">
        <v>13</v>
      </c>
      <c r="B18" s="32" t="inlineStr">
        <is>
          <t>novi-123</t>
        </is>
      </c>
      <c r="C18" s="32" t="inlineStr">
        <is>
          <t>Novi</t>
        </is>
      </c>
      <c r="D18" s="32" t="inlineStr">
        <is>
          <t>Paket Up to 8 Mbps</t>
        </is>
      </c>
      <c r="E18" s="31" t="inlineStr">
        <is>
          <t>8 Mbps</t>
        </is>
      </c>
      <c r="F18" s="33" t="n">
        <v>250000</v>
      </c>
      <c r="G18" s="33" t="n">
        <v>0</v>
      </c>
      <c r="H18" s="31" t="n">
        <v>18</v>
      </c>
      <c r="I18" s="34" t="inlineStr">
        <is>
          <t>Belum Bayar</t>
        </is>
      </c>
      <c r="J18" s="32" t="inlineStr">
        <is>
          <t>-</t>
        </is>
      </c>
      <c r="K18" s="31" t="inlineStr">
        <is>
          <t>2026-10-02</t>
        </is>
      </c>
      <c r="L18" s="31" t="inlineStr">
        <is>
          <t>Aktif</t>
        </is>
      </c>
      <c r="M18" s="32" t="inlineStr">
        <is>
          <t>Sako Makmur</t>
        </is>
      </c>
    </row>
    <row r="19">
      <c r="A19" s="13" t="n">
        <v>14</v>
      </c>
      <c r="B19" s="22" t="inlineStr">
        <is>
          <t>tugiman-123</t>
        </is>
      </c>
      <c r="C19" s="22" t="inlineStr">
        <is>
          <t>Pak Tugiman</t>
        </is>
      </c>
      <c r="D19" s="22" t="inlineStr">
        <is>
          <t>Paket Up to 8 Mbps</t>
        </is>
      </c>
      <c r="E19" s="13" t="inlineStr">
        <is>
          <t>8 Mbps</t>
        </is>
      </c>
      <c r="F19" s="15" t="n">
        <v>250000</v>
      </c>
      <c r="G19" s="15" t="n">
        <v>0</v>
      </c>
      <c r="H19" s="13" t="n">
        <v>18</v>
      </c>
      <c r="I19" s="34" t="inlineStr">
        <is>
          <t>Belum Bayar</t>
        </is>
      </c>
      <c r="J19" s="22" t="inlineStr">
        <is>
          <t>-</t>
        </is>
      </c>
      <c r="K19" s="13" t="inlineStr">
        <is>
          <t>2026-10-02</t>
        </is>
      </c>
      <c r="L19" s="13" t="inlineStr">
        <is>
          <t>Aktif</t>
        </is>
      </c>
      <c r="M19" s="22" t="inlineStr">
        <is>
          <t>Sako Makmur</t>
        </is>
      </c>
    </row>
    <row r="20">
      <c r="A20" s="31" t="n">
        <v>15</v>
      </c>
      <c r="B20" s="32" t="inlineStr">
        <is>
          <t>ujang-123</t>
        </is>
      </c>
      <c r="C20" s="32" t="inlineStr">
        <is>
          <t>UJANG</t>
        </is>
      </c>
      <c r="D20" s="32" t="inlineStr">
        <is>
          <t>Paket Up to 5 Mbps</t>
        </is>
      </c>
      <c r="E20" s="31" t="inlineStr">
        <is>
          <t>5 Mbps</t>
        </is>
      </c>
      <c r="F20" s="33" t="n">
        <v>200000</v>
      </c>
      <c r="G20" s="33" t="n">
        <v>0</v>
      </c>
      <c r="H20" s="31" t="n">
        <v>18</v>
      </c>
      <c r="I20" s="34" t="inlineStr">
        <is>
          <t>Belum Bayar</t>
        </is>
      </c>
      <c r="J20" s="32" t="inlineStr">
        <is>
          <t>-</t>
        </is>
      </c>
      <c r="K20" s="31" t="inlineStr">
        <is>
          <t>2026-10-02</t>
        </is>
      </c>
      <c r="L20" s="31" t="inlineStr">
        <is>
          <t>Aktif</t>
        </is>
      </c>
      <c r="M20" s="32" t="inlineStr">
        <is>
          <t>Sako Makmur</t>
        </is>
      </c>
    </row>
    <row r="21">
      <c r="A21" s="13" t="n">
        <v>16</v>
      </c>
      <c r="B21" s="22" t="inlineStr">
        <is>
          <t>tedi-123</t>
        </is>
      </c>
      <c r="C21" s="22" t="inlineStr">
        <is>
          <t>Tedi</t>
        </is>
      </c>
      <c r="D21" s="22" t="inlineStr">
        <is>
          <t>Paket Up to 8 Mbps</t>
        </is>
      </c>
      <c r="E21" s="13" t="inlineStr">
        <is>
          <t>8 Mbps</t>
        </is>
      </c>
      <c r="F21" s="15" t="n">
        <v>250000</v>
      </c>
      <c r="G21" s="15" t="n">
        <v>0</v>
      </c>
      <c r="H21" s="13" t="n">
        <v>18</v>
      </c>
      <c r="I21" s="34" t="inlineStr">
        <is>
          <t>Belum Bayar</t>
        </is>
      </c>
      <c r="J21" s="22" t="inlineStr">
        <is>
          <t>-</t>
        </is>
      </c>
      <c r="K21" s="13" t="inlineStr">
        <is>
          <t>2026-10-02</t>
        </is>
      </c>
      <c r="L21" s="13" t="inlineStr">
        <is>
          <t>Aktif</t>
        </is>
      </c>
      <c r="M21" s="22" t="inlineStr">
        <is>
          <t>Sako Makmur</t>
        </is>
      </c>
    </row>
    <row r="22">
      <c r="A22" s="31" t="n">
        <v>17</v>
      </c>
      <c r="B22" s="32" t="inlineStr">
        <is>
          <t>iyeng-123</t>
        </is>
      </c>
      <c r="C22" s="32" t="inlineStr">
        <is>
          <t>Wak Iyeng</t>
        </is>
      </c>
      <c r="D22" s="32" t="inlineStr">
        <is>
          <t>Paket Up to 5 Mbps</t>
        </is>
      </c>
      <c r="E22" s="31" t="inlineStr">
        <is>
          <t>5 Mbps</t>
        </is>
      </c>
      <c r="F22" s="33" t="n">
        <v>200000</v>
      </c>
      <c r="G22" s="33" t="n">
        <v>0</v>
      </c>
      <c r="H22" s="31" t="n">
        <v>18</v>
      </c>
      <c r="I22" s="34" t="inlineStr">
        <is>
          <t>Belum Bayar</t>
        </is>
      </c>
      <c r="J22" s="32" t="inlineStr">
        <is>
          <t>-</t>
        </is>
      </c>
      <c r="K22" s="31" t="inlineStr">
        <is>
          <t>2026-10-02</t>
        </is>
      </c>
      <c r="L22" s="31" t="inlineStr">
        <is>
          <t>Aktif</t>
        </is>
      </c>
      <c r="M22" s="32" t="inlineStr">
        <is>
          <t>Dusun 2 RT 4</t>
        </is>
      </c>
    </row>
    <row r="23">
      <c r="A23" s="35" t="inlineStr"/>
      <c r="B23" s="26" t="inlineStr">
        <is>
          <t>TOTAL</t>
        </is>
      </c>
      <c r="C23" s="26" t="inlineStr">
        <is>
          <t>17 Pelanggan</t>
        </is>
      </c>
      <c r="D23" s="35" t="inlineStr"/>
      <c r="E23" s="35" t="inlineStr"/>
      <c r="F23" s="28">
        <f>SUM(F6:F22)</f>
        <v/>
      </c>
      <c r="G23" s="28">
        <f>SUM(G6:G22)</f>
        <v/>
      </c>
      <c r="H23" s="35" t="n"/>
      <c r="I23" s="35" t="n"/>
      <c r="J23" s="35" t="n"/>
      <c r="K23" s="35" t="n"/>
      <c r="L23" s="35" t="n"/>
      <c r="M23" s="35" t="n"/>
    </row>
  </sheetData>
  <conditionalFormatting sqref="I6:I22">
    <cfRule type="cellIs" priority="1" operator="equal" dxfId="0" stopIfTrue="1">
      <formula>"Lunas"</formula>
    </cfRule>
    <cfRule type="cellIs" priority="2" operator="equal" dxfId="1" stopIfTrue="1">
      <formula>"Belum Bayar"</formula>
    </cfRule>
  </conditionalFormatting>
  <dataValidations count="2">
    <dataValidation sqref="I6:I22" showDropDown="0" showInputMessage="0" showErrorMessage="0" allowBlank="0" type="list">
      <formula1>"Lunas,Belum Bayar"</formula1>
    </dataValidation>
    <dataValidation sqref="J6:J22" showDropDown="0" showInputMessage="0" showErrorMessage="0" allowBlank="1" type="list">
      <formula1>"Tunai,Transfer BCA,Transfer BRI,QRIS,-"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  <col width="18" customWidth="1" min="4" max="4"/>
    <col width="20" customWidth="1" min="5" max="5"/>
    <col width="46" customWidth="1" min="6" max="6"/>
  </cols>
  <sheetData>
    <row r="2">
      <c r="B2" s="1" t="inlineStr">
        <is>
          <t>BUKU KAS BEBAN OPERASIONAL (OPEX) SAKO MAKMUR WIFI</t>
        </is>
      </c>
    </row>
    <row r="3">
      <c r="B3" s="2" t="inlineStr">
        <is>
          <t>Rincian Biaya Rutin Bulanan &amp; Buku Kas Harian Pengeluaran Jaringan</t>
        </is>
      </c>
    </row>
    <row r="5">
      <c r="B5" s="4" t="inlineStr">
        <is>
          <t>A. REKAPITULASI BEBAN OPERASIONAL RUTIN BULANAN (OKTOBER 2026)</t>
        </is>
      </c>
    </row>
    <row r="6">
      <c r="A6" s="20" t="inlineStr">
        <is>
          <t>No</t>
        </is>
      </c>
      <c r="B6" s="20" t="inlineStr">
        <is>
          <t>Komponen Biaya</t>
        </is>
      </c>
      <c r="C6" s="20" t="inlineStr">
        <is>
          <t>Kategori</t>
        </is>
      </c>
      <c r="D6" s="20" t="inlineStr">
        <is>
          <t>Tipe Beban</t>
        </is>
      </c>
      <c r="E6" s="20" t="inlineStr">
        <is>
          <t>Nominal (Rp)</t>
        </is>
      </c>
      <c r="F6" s="20" t="inlineStr">
        <is>
          <t>Keterangan / Rumus</t>
        </is>
      </c>
    </row>
    <row r="7">
      <c r="A7" s="36" t="n">
        <v>1</v>
      </c>
      <c r="B7" s="21" t="inlineStr">
        <is>
          <t>Langganan Starlink Standard</t>
        </is>
      </c>
      <c r="C7" s="6" t="inlineStr">
        <is>
          <t>Internet Backhaul</t>
        </is>
      </c>
      <c r="D7" s="36" t="inlineStr">
        <is>
          <t>Tetap (Fixed)</t>
        </is>
      </c>
      <c r="E7" s="37" t="n">
        <v>850000</v>
      </c>
      <c r="F7" s="38" t="inlineStr">
        <is>
          <t>Tagihan bulanan Starlink Standard Kit</t>
        </is>
      </c>
    </row>
    <row r="8">
      <c r="A8" s="36" t="n">
        <v>2</v>
      </c>
      <c r="B8" s="21" t="inlineStr">
        <is>
          <t>Listrik &amp; Token PLN Node RT 01</t>
        </is>
      </c>
      <c r="C8" s="6" t="inlineStr">
        <is>
          <t>Power &amp; Utility</t>
        </is>
      </c>
      <c r="D8" s="36" t="inlineStr">
        <is>
          <t>Tetap (Fixed)</t>
        </is>
      </c>
      <c r="E8" s="15" t="n">
        <v>300000</v>
      </c>
      <c r="F8" s="38" t="inlineStr">
        <is>
          <t>Daya node pusat &amp; UPS RT 01</t>
        </is>
      </c>
    </row>
    <row r="9">
      <c r="A9" s="36" t="n">
        <v>3</v>
      </c>
      <c r="B9" s="21" t="inlineStr">
        <is>
          <t>Gaji Operator Lapangan &amp; Maintenance</t>
        </is>
      </c>
      <c r="C9" s="6" t="inlineStr">
        <is>
          <t>SDM Teknis</t>
        </is>
      </c>
      <c r="D9" s="36" t="inlineStr">
        <is>
          <t>Tetap (Fixed)</t>
        </is>
      </c>
      <c r="E9" s="15" t="n">
        <v>500000</v>
      </c>
      <c r="F9" s="38" t="inlineStr">
        <is>
          <t>Maintenance berkala &amp; perbaikan jalur</t>
        </is>
      </c>
    </row>
    <row r="10">
      <c r="A10" s="36" t="n">
        <v>4</v>
      </c>
      <c r="B10" s="21" t="inlineStr">
        <is>
          <t>Komisi Marketing Rutin Bulanan</t>
        </is>
      </c>
      <c r="C10" s="6" t="inlineStr">
        <is>
          <t>Pemasaran</t>
        </is>
      </c>
      <c r="D10" s="36" t="inlineStr">
        <is>
          <t>Tetap (Fixed)</t>
        </is>
      </c>
      <c r="E10" s="15" t="n">
        <v>50000</v>
      </c>
      <c r="F10" s="38" t="inlineStr">
        <is>
          <t>Sosialisasi &amp; akuisisi pelanggan</t>
        </is>
      </c>
    </row>
    <row r="11">
      <c r="A11" s="36" t="n">
        <v>5</v>
      </c>
      <c r="B11" s="21" t="inlineStr">
        <is>
          <t>Jasa Tagih Lapangan (Rp 5.000 / User Lunas)</t>
        </is>
      </c>
      <c r="C11" s="6" t="inlineStr">
        <is>
          <t>Operasional Tagih</t>
        </is>
      </c>
      <c r="D11" s="36" t="inlineStr">
        <is>
          <t>Variabel</t>
        </is>
      </c>
      <c r="E11" s="37">
        <f>COUNTIF(Pelanggan!I6:I22, "Lunas")*5000</f>
        <v/>
      </c>
      <c r="F11" s="38" t="inlineStr">
        <is>
          <t>Otomatis dihitung Rp 5.000 per user yang lunas</t>
        </is>
      </c>
    </row>
    <row r="12">
      <c r="A12" s="35" t="inlineStr"/>
      <c r="B12" s="26" t="inlineStr">
        <is>
          <t>TOTAL BEBAN OPEX RUTIN</t>
        </is>
      </c>
      <c r="C12" s="35" t="inlineStr"/>
      <c r="D12" s="35" t="inlineStr"/>
      <c r="E12" s="28">
        <f>SUM(E7:E11)</f>
        <v/>
      </c>
      <c r="F12" s="26" t="inlineStr">
        <is>
          <t>Total beban yang wajib dicover oleh kas masuk iuran</t>
        </is>
      </c>
    </row>
    <row r="14">
      <c r="B14" s="4" t="inlineStr">
        <is>
          <t>B. LOG BUKU KAS HARIAN PENGELUARAN (REAL TIME TRANSACTION LOG)</t>
        </is>
      </c>
    </row>
    <row r="15">
      <c r="A15" s="39" t="inlineStr">
        <is>
          <t>ID Transaksi</t>
        </is>
      </c>
      <c r="B15" s="39" t="inlineStr">
        <is>
          <t>Tanggal</t>
        </is>
      </c>
      <c r="C15" s="39" t="inlineStr">
        <is>
          <t>Kategori Beban</t>
        </is>
      </c>
      <c r="D15" s="39" t="inlineStr">
        <is>
          <t>Nominal (Rp)</t>
        </is>
      </c>
      <c r="E15" s="39" t="inlineStr">
        <is>
          <t>Sumber Dana</t>
        </is>
      </c>
      <c r="F15" s="39" t="inlineStr">
        <is>
          <t>Keterangan Pengeluaran</t>
        </is>
      </c>
    </row>
    <row r="16">
      <c r="A16" s="36" t="inlineStr">
        <is>
          <t>EXP-202610-01</t>
        </is>
      </c>
      <c r="B16" s="36" t="inlineStr">
        <is>
          <t>2026-10-01</t>
        </is>
      </c>
      <c r="C16" s="6" t="inlineStr">
        <is>
          <t>Langganan Starlink</t>
        </is>
      </c>
      <c r="D16" s="40" t="n">
        <v>850000</v>
      </c>
      <c r="E16" s="36" t="inlineStr">
        <is>
          <t>Kas Operasional</t>
        </is>
      </c>
      <c r="F16" s="6" t="inlineStr">
        <is>
          <t>Tagihan bulanan Starlink Standard Kit (Oktober 2026)</t>
        </is>
      </c>
    </row>
    <row r="17">
      <c r="A17" s="36" t="inlineStr">
        <is>
          <t>EXP-202610-02</t>
        </is>
      </c>
      <c r="B17" s="36" t="inlineStr">
        <is>
          <t>2026-10-01</t>
        </is>
      </c>
      <c r="C17" s="6" t="inlineStr">
        <is>
          <t>Listrik &amp; Token PLN</t>
        </is>
      </c>
      <c r="D17" s="40" t="n">
        <v>300000</v>
      </c>
      <c r="E17" s="36" t="inlineStr">
        <is>
          <t>Kas Operasional</t>
        </is>
      </c>
      <c r="F17" s="6" t="inlineStr">
        <is>
          <t>Token listrik PLN Node RT 01 &amp; UPS (Oktober 2026)</t>
        </is>
      </c>
    </row>
    <row r="18">
      <c r="A18" s="36" t="inlineStr">
        <is>
          <t>EXP-202610-03</t>
        </is>
      </c>
      <c r="B18" s="36" t="inlineStr">
        <is>
          <t>2026-10-01</t>
        </is>
      </c>
      <c r="C18" s="6" t="inlineStr">
        <is>
          <t>Gaji Operator</t>
        </is>
      </c>
      <c r="D18" s="40" t="n">
        <v>500000</v>
      </c>
      <c r="E18" s="36" t="inlineStr">
        <is>
          <t>Kas Operasional</t>
        </is>
      </c>
      <c r="F18" s="6" t="inlineStr">
        <is>
          <t>Uang operasional &amp; maintenance jaringan (Oktober 2026)</t>
        </is>
      </c>
    </row>
    <row r="19">
      <c r="A19" s="36" t="inlineStr">
        <is>
          <t>EXP-202610-04</t>
        </is>
      </c>
      <c r="B19" s="36" t="inlineStr">
        <is>
          <t>2026-10-01</t>
        </is>
      </c>
      <c r="C19" s="6" t="inlineStr">
        <is>
          <t>Komisi Marketing</t>
        </is>
      </c>
      <c r="D19" s="40" t="n">
        <v>50000</v>
      </c>
      <c r="E19" s="36" t="inlineStr">
        <is>
          <t>Kas Operasional</t>
        </is>
      </c>
      <c r="F19" s="6" t="inlineStr">
        <is>
          <t>Komisi marketing rutin bulanan (Oktober 2026)</t>
        </is>
      </c>
    </row>
    <row r="20">
      <c r="A20" s="41" t="inlineStr">
        <is>
          <t>EXP-202609-01</t>
        </is>
      </c>
      <c r="B20" s="41" t="inlineStr">
        <is>
          <t>2026-09-19</t>
        </is>
      </c>
      <c r="C20" s="42" t="inlineStr">
        <is>
          <t>Langganan Starlink</t>
        </is>
      </c>
      <c r="D20" s="43" t="n">
        <v>850000</v>
      </c>
      <c r="E20" s="41" t="inlineStr">
        <is>
          <t>Kas Operasional</t>
        </is>
      </c>
      <c r="F20" s="42" t="inlineStr">
        <is>
          <t>Arsip: Tagihan Starlink September (Tutup Buku)</t>
        </is>
      </c>
    </row>
    <row r="21">
      <c r="A21" s="41" t="inlineStr">
        <is>
          <t>EXP-202609-02</t>
        </is>
      </c>
      <c r="B21" s="41" t="inlineStr">
        <is>
          <t>2026-09-19</t>
        </is>
      </c>
      <c r="C21" s="42" t="inlineStr">
        <is>
          <t>Listrik &amp; Token PLN</t>
        </is>
      </c>
      <c r="D21" s="43" t="n">
        <v>250000</v>
      </c>
      <c r="E21" s="41" t="inlineStr">
        <is>
          <t>Kas Operasional</t>
        </is>
      </c>
      <c r="F21" s="42" t="inlineStr">
        <is>
          <t>Arsip: Token PLN September (Tutup Buku)</t>
        </is>
      </c>
    </row>
    <row r="22">
      <c r="A22" s="41" t="inlineStr">
        <is>
          <t>EXP-202609-03</t>
        </is>
      </c>
      <c r="B22" s="41" t="inlineStr">
        <is>
          <t>2026-09-19</t>
        </is>
      </c>
      <c r="C22" s="42" t="inlineStr">
        <is>
          <t>Gaji Operator</t>
        </is>
      </c>
      <c r="D22" s="43" t="n">
        <v>500000</v>
      </c>
      <c r="E22" s="41" t="inlineStr">
        <is>
          <t>Kas Operasional</t>
        </is>
      </c>
      <c r="F22" s="42" t="inlineStr">
        <is>
          <t>Arsip: Operator September (Tutup Buku)</t>
        </is>
      </c>
    </row>
    <row r="23">
      <c r="A23" s="41" t="inlineStr">
        <is>
          <t>EXP-202609-04</t>
        </is>
      </c>
      <c r="B23" s="41" t="inlineStr">
        <is>
          <t>2026-09-19</t>
        </is>
      </c>
      <c r="C23" s="42" t="inlineStr">
        <is>
          <t>Bensin &amp; Patroli</t>
        </is>
      </c>
      <c r="D23" s="43" t="n">
        <v>75000</v>
      </c>
      <c r="E23" s="41" t="inlineStr">
        <is>
          <t>Kas Operasional</t>
        </is>
      </c>
      <c r="F23" s="42" t="inlineStr">
        <is>
          <t>Arsip: Patroli kabel FO &amp; tiang September (Tutup Buku)</t>
        </is>
      </c>
    </row>
    <row r="24">
      <c r="A24" s="41" t="inlineStr">
        <is>
          <t>EXP-202609-05</t>
        </is>
      </c>
      <c r="B24" s="41" t="inlineStr">
        <is>
          <t>2026-09-19</t>
        </is>
      </c>
      <c r="C24" s="42" t="inlineStr">
        <is>
          <t>Komisi Marketing</t>
        </is>
      </c>
      <c r="D24" s="43" t="n">
        <v>50000</v>
      </c>
      <c r="E24" s="41" t="inlineStr">
        <is>
          <t>Kas Operasional</t>
        </is>
      </c>
      <c r="F24" s="42" t="inlineStr">
        <is>
          <t>Arsip: Marketing September (Tutup Buku)</t>
        </is>
      </c>
    </row>
    <row r="25">
      <c r="A25" s="41" t="inlineStr">
        <is>
          <t>EXP-202609-06</t>
        </is>
      </c>
      <c r="B25" s="41" t="inlineStr">
        <is>
          <t>2026-09-19</t>
        </is>
      </c>
      <c r="C25" s="42" t="inlineStr">
        <is>
          <t>Jasa Tagih</t>
        </is>
      </c>
      <c r="D25" s="43" t="n">
        <v>55000</v>
      </c>
      <c r="E25" s="41" t="inlineStr">
        <is>
          <t>Kas Operasional</t>
        </is>
      </c>
      <c r="F25" s="42" t="inlineStr">
        <is>
          <t>Arsip: Fee kolektor 11 user September (Tutup Buku)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20" customWidth="1" min="4" max="4"/>
    <col width="18" customWidth="1" min="5" max="5"/>
    <col width="24" customWidth="1" min="6" max="6"/>
    <col width="24" customWidth="1" min="7" max="7"/>
    <col width="24" customWidth="1" min="8" max="8"/>
    <col width="14" customWidth="1" min="9" max="9"/>
    <col width="20" customWidth="1" min="10" max="10"/>
    <col width="14" customWidth="1" min="11" max="11"/>
    <col width="24" customWidth="1" min="12" max="12"/>
  </cols>
  <sheetData>
    <row r="2">
      <c r="B2" s="1" t="inlineStr">
        <is>
          <t>STRUKTUR PERMODALAN &amp; INVESTOR KONSORSIUM</t>
        </is>
      </c>
    </row>
    <row r="3">
      <c r="B3" s="2" t="inlineStr">
        <is>
          <t>Konsorsium Sako Makmur WiFi | Total Modal Rp 25.000.000 | Kontrak 12 Bulan (Sep 2026 - Agu 2027)</t>
        </is>
      </c>
    </row>
    <row r="5">
      <c r="A5" s="20" t="inlineStr">
        <is>
          <t>No</t>
        </is>
      </c>
      <c r="B5" s="20" t="inlineStr">
        <is>
          <t>Nama Pemegang Saham</t>
        </is>
      </c>
      <c r="C5" s="20" t="inlineStr">
        <is>
          <t>Peran Konsorsium</t>
        </is>
      </c>
      <c r="D5" s="20" t="inlineStr">
        <is>
          <t>Modal Disetor (Rp)</t>
        </is>
      </c>
      <c r="E5" s="20" t="inlineStr">
        <is>
          <t>Persentase Saham</t>
        </is>
      </c>
      <c r="F5" s="20" t="inlineStr">
        <is>
          <t>Penjamin Aset Fisik (Rp)</t>
        </is>
      </c>
      <c r="G5" s="20" t="inlineStr">
        <is>
          <t>Estimasi Dividen Bln Ini</t>
        </is>
      </c>
      <c r="H5" s="20" t="inlineStr">
        <is>
          <t>Total Dividen Diterima</t>
        </is>
      </c>
      <c r="I5" s="20" t="inlineStr">
        <is>
          <t>Masa Kontrak</t>
        </is>
      </c>
      <c r="J5" s="20" t="inlineStr">
        <is>
          <t>Status Kontrak</t>
        </is>
      </c>
      <c r="K5" s="20" t="inlineStr">
        <is>
          <t>Rekening Bank</t>
        </is>
      </c>
      <c r="L5" s="20" t="inlineStr">
        <is>
          <t>No Rekening &amp; Atas Nama</t>
        </is>
      </c>
    </row>
    <row r="6">
      <c r="A6" s="13" t="n">
        <v>1</v>
      </c>
      <c r="B6" s="22" t="inlineStr">
        <is>
          <t>Ahmad Fauzi</t>
        </is>
      </c>
      <c r="C6" s="22" t="inlineStr">
        <is>
          <t>Investor</t>
        </is>
      </c>
      <c r="D6" s="37" t="n">
        <v>15000000</v>
      </c>
      <c r="E6" s="23" t="n">
        <v>0.6</v>
      </c>
      <c r="F6" s="15">
        <f>Aset_CAPEX!G17*E6</f>
        <v/>
      </c>
      <c r="G6" s="37">
        <f>Dashboard!F18*E6</f>
        <v/>
      </c>
      <c r="H6" s="15" t="n">
        <v>351000</v>
      </c>
      <c r="I6" s="13" t="inlineStr">
        <is>
          <t>12 Bulan</t>
        </is>
      </c>
      <c r="J6" s="13" t="inlineStr">
        <is>
          <t>Bulan ke-2 dari 12</t>
        </is>
      </c>
      <c r="K6" s="13" t="inlineStr">
        <is>
          <t>BRI</t>
        </is>
      </c>
      <c r="L6" s="22" t="inlineStr">
        <is>
          <t>Ahmad Fauzi</t>
        </is>
      </c>
    </row>
    <row r="7">
      <c r="A7" s="13" t="n">
        <v>2</v>
      </c>
      <c r="B7" s="22" t="inlineStr">
        <is>
          <t>Anwar Khadafi Saimona</t>
        </is>
      </c>
      <c r="C7" s="22" t="inlineStr">
        <is>
          <t>Investor</t>
        </is>
      </c>
      <c r="D7" s="37" t="n">
        <v>5000000</v>
      </c>
      <c r="E7" s="23" t="n">
        <v>0.2</v>
      </c>
      <c r="F7" s="15">
        <f>Aset_CAPEX!G17*E7</f>
        <v/>
      </c>
      <c r="G7" s="37">
        <f>Dashboard!F18*E7</f>
        <v/>
      </c>
      <c r="H7" s="15" t="n">
        <v>117000</v>
      </c>
      <c r="I7" s="13" t="inlineStr">
        <is>
          <t>12 Bulan</t>
        </is>
      </c>
      <c r="J7" s="13" t="inlineStr">
        <is>
          <t>Bulan ke-2 dari 12</t>
        </is>
      </c>
      <c r="K7" s="13" t="inlineStr">
        <is>
          <t>BRI</t>
        </is>
      </c>
      <c r="L7" s="22" t="inlineStr">
        <is>
          <t>Anwar Khadafi Saimona</t>
        </is>
      </c>
    </row>
    <row r="8">
      <c r="A8" s="13" t="n">
        <v>3</v>
      </c>
      <c r="B8" s="22" t="inlineStr">
        <is>
          <t>Tri Wahyono</t>
        </is>
      </c>
      <c r="C8" s="22" t="inlineStr">
        <is>
          <t>Managing Owner</t>
        </is>
      </c>
      <c r="D8" s="37" t="n">
        <v>5000000</v>
      </c>
      <c r="E8" s="23" t="n">
        <v>0.2</v>
      </c>
      <c r="F8" s="15">
        <f>Aset_CAPEX!G17*E8</f>
        <v/>
      </c>
      <c r="G8" s="37">
        <f>Dashboard!F18*E8</f>
        <v/>
      </c>
      <c r="H8" s="15" t="n">
        <v>117000</v>
      </c>
      <c r="I8" s="13" t="inlineStr">
        <is>
          <t>12 Bulan</t>
        </is>
      </c>
      <c r="J8" s="13" t="inlineStr">
        <is>
          <t>Bulan ke-2 dari 12</t>
        </is>
      </c>
      <c r="K8" s="13" t="inlineStr">
        <is>
          <t>BCA</t>
        </is>
      </c>
      <c r="L8" s="22" t="inlineStr">
        <is>
          <t>Tri Wahyono</t>
        </is>
      </c>
    </row>
    <row r="9">
      <c r="A9" s="35" t="inlineStr"/>
      <c r="B9" s="26" t="inlineStr">
        <is>
          <t>TOTAL KONSORSIUM</t>
        </is>
      </c>
      <c r="C9" s="27" t="inlineStr">
        <is>
          <t>3 Anggota</t>
        </is>
      </c>
      <c r="D9" s="28">
        <f>SUM(D6:D8)</f>
        <v/>
      </c>
      <c r="E9" s="29">
        <f>SUM(E6:E8)</f>
        <v/>
      </c>
      <c r="F9" s="28">
        <f>SUM(F6:F8)</f>
        <v/>
      </c>
      <c r="G9" s="28">
        <f>SUM(G6:G8)</f>
        <v/>
      </c>
      <c r="H9" s="28">
        <f>SUM(H6:H8)</f>
        <v/>
      </c>
      <c r="I9" s="35" t="inlineStr"/>
      <c r="J9" s="35" t="inlineStr"/>
      <c r="K9" s="35" t="inlineStr"/>
      <c r="L9" s="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1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10" customWidth="1" min="4" max="4"/>
    <col width="12" customWidth="1" min="5" max="5"/>
    <col width="20" customWidth="1" min="6" max="6"/>
    <col width="22" customWidth="1" min="7" max="7"/>
    <col width="22" customWidth="1" min="8" max="8"/>
    <col width="4" customWidth="1" min="9" max="9"/>
  </cols>
  <sheetData>
    <row r="2">
      <c r="B2" s="1" t="inlineStr">
        <is>
          <t>DAFTAR BELANJA MODAL &amp; ASET PENJAMIN (CAPEX)</t>
        </is>
      </c>
    </row>
    <row r="3">
      <c r="B3" s="2" t="inlineStr">
        <is>
          <t>Aset Fisik Jaringan Sako Makmur WiFi Sebagai Penjamin Modal Investor Konsorsium</t>
        </is>
      </c>
    </row>
    <row r="5">
      <c r="B5" s="5" t="inlineStr">
        <is>
          <t>TOTAL MODAL INVESTOR</t>
        </is>
      </c>
      <c r="C5" s="6" t="n"/>
      <c r="D5" s="5" t="inlineStr">
        <is>
          <t>TOTAL BELANJA ASET FISIK</t>
        </is>
      </c>
      <c r="E5" s="6" t="n"/>
      <c r="F5" s="5" t="inlineStr">
        <is>
          <t>SISA KAS MODAL AWAL</t>
        </is>
      </c>
      <c r="G5" s="6" t="n"/>
      <c r="H5" s="44" t="inlineStr">
        <is>
          <t>STATUS COVER PENJAMIN</t>
        </is>
      </c>
      <c r="I5" s="6" t="n"/>
    </row>
    <row r="6">
      <c r="B6" s="45">
        <f>Struktur_Investor!D9</f>
        <v/>
      </c>
      <c r="C6" s="6" t="n"/>
      <c r="D6" s="45">
        <f>G17</f>
        <v/>
      </c>
      <c r="E6" s="6" t="n"/>
      <c r="F6" s="45">
        <f>B6-D6</f>
        <v/>
      </c>
      <c r="G6" s="6" t="n"/>
      <c r="H6" s="46">
        <f>D6/B6</f>
        <v/>
      </c>
      <c r="I6" s="6" t="n"/>
    </row>
    <row r="8">
      <c r="A8" s="20" t="inlineStr">
        <is>
          <t>No</t>
        </is>
      </c>
      <c r="B8" s="20" t="inlineStr">
        <is>
          <t>Nama Perangkat / Barang</t>
        </is>
      </c>
      <c r="C8" s="20" t="inlineStr">
        <is>
          <t>Kategori Aset</t>
        </is>
      </c>
      <c r="D8" s="20" t="inlineStr">
        <is>
          <t>Volume</t>
        </is>
      </c>
      <c r="E8" s="20" t="inlineStr">
        <is>
          <t>Satuan</t>
        </is>
      </c>
      <c r="F8" s="20" t="inlineStr">
        <is>
          <t>Harga Satuan (Rp)</t>
        </is>
      </c>
      <c r="G8" s="20" t="inlineStr">
        <is>
          <t>Total Nilai (Rp)</t>
        </is>
      </c>
      <c r="H8" s="20" t="inlineStr">
        <is>
          <t>Status Fisik</t>
        </is>
      </c>
    </row>
    <row r="9">
      <c r="A9" s="36" t="n">
        <v>1</v>
      </c>
      <c r="B9" s="21" t="inlineStr">
        <is>
          <t>Starlink Gen 3 Standard Kit &amp; Mount</t>
        </is>
      </c>
      <c r="C9" s="6" t="inlineStr">
        <is>
          <t>Starlink &amp; Backhaul</t>
        </is>
      </c>
      <c r="D9" s="36" t="n">
        <v>1</v>
      </c>
      <c r="E9" s="36" t="inlineStr">
        <is>
          <t>unit</t>
        </is>
      </c>
      <c r="F9" s="40" t="n">
        <v>7800000</v>
      </c>
      <c r="G9" s="37">
        <f>D9*F9</f>
        <v/>
      </c>
      <c r="H9" s="36" t="inlineStr">
        <is>
          <t>Aktif Operasional</t>
        </is>
      </c>
    </row>
    <row r="10">
      <c r="A10" s="36" t="n">
        <v>2</v>
      </c>
      <c r="B10" s="21" t="inlineStr">
        <is>
          <t>MikroTik Cloud Router RB750Gr3 / RB4011</t>
        </is>
      </c>
      <c r="C10" s="6" t="inlineStr">
        <is>
          <t>MikroTik &amp; Core</t>
        </is>
      </c>
      <c r="D10" s="36" t="n">
        <v>1</v>
      </c>
      <c r="E10" s="36" t="inlineStr">
        <is>
          <t>unit</t>
        </is>
      </c>
      <c r="F10" s="40" t="n">
        <v>1350000</v>
      </c>
      <c r="G10" s="37">
        <f>D10*F10</f>
        <v/>
      </c>
      <c r="H10" s="36" t="inlineStr">
        <is>
          <t>Aktif Normal</t>
        </is>
      </c>
    </row>
    <row r="11">
      <c r="A11" s="36" t="n">
        <v>3</v>
      </c>
      <c r="B11" s="21" t="inlineStr">
        <is>
          <t>Kabel Dropcore FO 1 Core 3 Seling (1000m)</t>
        </is>
      </c>
      <c r="C11" s="6" t="inlineStr">
        <is>
          <t>Kabel &amp; Distribusi</t>
        </is>
      </c>
      <c r="D11" s="36" t="n">
        <v>2</v>
      </c>
      <c r="E11" s="36" t="inlineStr">
        <is>
          <t>roll</t>
        </is>
      </c>
      <c r="F11" s="40" t="n">
        <v>1100000</v>
      </c>
      <c r="G11" s="37">
        <f>D11*F11</f>
        <v/>
      </c>
      <c r="H11" s="36" t="inlineStr">
        <is>
          <t>Terpasang di Tiang</t>
        </is>
      </c>
    </row>
    <row r="12">
      <c r="A12" s="36" t="n">
        <v>4</v>
      </c>
      <c r="B12" s="21" t="inlineStr">
        <is>
          <t>Media Converter HTB 3100 A/B + Fast Connector</t>
        </is>
      </c>
      <c r="C12" s="6" t="inlineStr">
        <is>
          <t>Kabel &amp; Distribusi</t>
        </is>
      </c>
      <c r="D12" s="36" t="n">
        <v>10</v>
      </c>
      <c r="E12" s="36" t="inlineStr">
        <is>
          <t>pasang</t>
        </is>
      </c>
      <c r="F12" s="40" t="n">
        <v>165000</v>
      </c>
      <c r="G12" s="37">
        <f>D12*F12</f>
        <v/>
      </c>
      <c r="H12" s="36" t="inlineStr">
        <is>
          <t>Terpasang</t>
        </is>
      </c>
    </row>
    <row r="13">
      <c r="A13" s="36" t="n">
        <v>5</v>
      </c>
      <c r="B13" s="21" t="inlineStr">
        <is>
          <t>UPS ICA 1200VA + Aki Eksternal Cadangan Node</t>
        </is>
      </c>
      <c r="C13" s="6" t="inlineStr">
        <is>
          <t>Power &amp; Backup</t>
        </is>
      </c>
      <c r="D13" s="36" t="n">
        <v>1</v>
      </c>
      <c r="E13" s="36" t="inlineStr">
        <is>
          <t>unit</t>
        </is>
      </c>
      <c r="F13" s="40" t="n">
        <v>2800000</v>
      </c>
      <c r="G13" s="37">
        <f>D13*F13</f>
        <v/>
      </c>
      <c r="H13" s="36" t="inlineStr">
        <is>
          <t>Aktif Backup</t>
        </is>
      </c>
    </row>
    <row r="14">
      <c r="A14" s="36" t="n">
        <v>6</v>
      </c>
      <c r="B14" s="21" t="inlineStr">
        <is>
          <t>Mini ODP 8 Core, Pigtail, Protection Box</t>
        </is>
      </c>
      <c r="C14" s="6" t="inlineStr">
        <is>
          <t>Kabel &amp; Distribusi</t>
        </is>
      </c>
      <c r="D14" s="36" t="n">
        <v>4</v>
      </c>
      <c r="E14" s="36" t="inlineStr">
        <is>
          <t>box</t>
        </is>
      </c>
      <c r="F14" s="40" t="n">
        <v>225000</v>
      </c>
      <c r="G14" s="37">
        <f>D14*F14</f>
        <v/>
      </c>
      <c r="H14" s="36" t="inlineStr">
        <is>
          <t>Terpasang</t>
        </is>
      </c>
    </row>
    <row r="15">
      <c r="A15" s="36" t="n">
        <v>7</v>
      </c>
      <c r="B15" s="21" t="inlineStr">
        <is>
          <t>Tiang Besi Galvanis 6 Meter &amp; Klem Tarik</t>
        </is>
      </c>
      <c r="C15" s="6" t="inlineStr">
        <is>
          <t>Lainnya &amp; Tiang</t>
        </is>
      </c>
      <c r="D15" s="36" t="n">
        <v>5</v>
      </c>
      <c r="E15" s="36" t="inlineStr">
        <is>
          <t>batang</t>
        </is>
      </c>
      <c r="F15" s="40" t="n">
        <v>320000</v>
      </c>
      <c r="G15" s="37">
        <f>D15*F15</f>
        <v/>
      </c>
      <c r="H15" s="36" t="inlineStr">
        <is>
          <t>Tertanam Kokoh</t>
        </is>
      </c>
    </row>
    <row r="16">
      <c r="A16" s="36" t="n">
        <v>8</v>
      </c>
      <c r="B16" s="21" t="inlineStr">
        <is>
          <t>Jasa Tarik Kabel Backbone &amp; Instalasi Awal Jaringan</t>
        </is>
      </c>
      <c r="C16" s="6" t="inlineStr">
        <is>
          <t>Jasa &amp; Instalasi</t>
        </is>
      </c>
      <c r="D16" s="36" t="n">
        <v>1</v>
      </c>
      <c r="E16" s="36" t="inlineStr">
        <is>
          <t>lot</t>
        </is>
      </c>
      <c r="F16" s="40" t="n">
        <v>4000000</v>
      </c>
      <c r="G16" s="37">
        <f>D16*F16</f>
        <v/>
      </c>
      <c r="H16" s="36" t="inlineStr">
        <is>
          <t>Selesai 100%</t>
        </is>
      </c>
    </row>
    <row r="17">
      <c r="A17" s="35" t="inlineStr"/>
      <c r="B17" s="26" t="inlineStr">
        <is>
          <t>TOTAL BELANJA ASET MODAL (CAPEX)</t>
        </is>
      </c>
      <c r="C17" s="35" t="inlineStr"/>
      <c r="D17" s="27">
        <f>SUM(D9:D16)</f>
        <v/>
      </c>
      <c r="E17" s="47" t="inlineStr">
        <is>
          <t>Item</t>
        </is>
      </c>
      <c r="F17" s="35" t="inlineStr"/>
      <c r="G17" s="28">
        <f>SUM(G9:G16)</f>
        <v/>
      </c>
      <c r="H17" s="27" t="inlineStr">
        <is>
          <t>100% Aman Terverifikasi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M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6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  <col width="20" customWidth="1" min="11" max="11"/>
    <col width="20" customWidth="1" min="12" max="12"/>
    <col width="24" customWidth="1" min="13" max="13"/>
  </cols>
  <sheetData>
    <row r="2">
      <c r="B2" s="1" t="inlineStr">
        <is>
          <t>ARSIP RESMI TUTUP BUKU BULANAN &amp; HISTORI DIVIDEN</t>
        </is>
      </c>
    </row>
    <row r="3">
      <c r="B3" s="2" t="inlineStr">
        <is>
          <t>Rekam Jejak Pembagian Laba Bersih Konsorsium Setiap Tanggal 25</t>
        </is>
      </c>
    </row>
    <row r="5">
      <c r="A5" s="20" t="inlineStr">
        <is>
          <t>No</t>
        </is>
      </c>
      <c r="B5" s="20" t="inlineStr">
        <is>
          <t>Periode</t>
        </is>
      </c>
      <c r="C5" s="20" t="inlineStr">
        <is>
          <t>Tgl Tutup</t>
        </is>
      </c>
      <c r="D5" s="20" t="inlineStr">
        <is>
          <t>Ditutup Oleh</t>
        </is>
      </c>
      <c r="E5" s="20" t="inlineStr">
        <is>
          <t>User Lunas</t>
        </is>
      </c>
      <c r="F5" s="20" t="inlineStr">
        <is>
          <t>Omzet Riil (Rp)</t>
        </is>
      </c>
      <c r="G5" s="20" t="inlineStr">
        <is>
          <t>Total OPEX (Rp)</t>
        </is>
      </c>
      <c r="H5" s="20" t="inlineStr">
        <is>
          <t>Cadangan Kas 10%</t>
        </is>
      </c>
      <c r="I5" s="20" t="inlineStr">
        <is>
          <t>Laba Bersih (Rp)</t>
        </is>
      </c>
      <c r="J5" s="20" t="inlineStr">
        <is>
          <t>Dividen Ahmad Fauzi (60%)</t>
        </is>
      </c>
      <c r="K5" s="20" t="inlineStr">
        <is>
          <t>Dividen Anwar K. (20%)</t>
        </is>
      </c>
      <c r="L5" s="20" t="inlineStr">
        <is>
          <t>Dividen Tri W. (20%)</t>
        </is>
      </c>
      <c r="M5" s="20" t="inlineStr">
        <is>
          <t>Status Penyaluran</t>
        </is>
      </c>
    </row>
    <row r="6">
      <c r="A6" s="13" t="n">
        <v>1</v>
      </c>
      <c r="B6" s="22" t="inlineStr">
        <is>
          <t>September 2026</t>
        </is>
      </c>
      <c r="C6" s="13" t="inlineStr">
        <is>
          <t>2026-09-20</t>
        </is>
      </c>
      <c r="D6" s="13" t="inlineStr">
        <is>
          <t>Tri Wahyono</t>
        </is>
      </c>
      <c r="E6" s="13" t="n">
        <v>11</v>
      </c>
      <c r="F6" s="37" t="n">
        <v>2600000</v>
      </c>
      <c r="G6" s="15" t="n">
        <v>2015000</v>
      </c>
      <c r="H6" s="15" t="n">
        <v>260000</v>
      </c>
      <c r="I6" s="37" t="n">
        <v>585000</v>
      </c>
      <c r="J6" s="15" t="n">
        <v>351000</v>
      </c>
      <c r="K6" s="15" t="n">
        <v>117000</v>
      </c>
      <c r="L6" s="15" t="n">
        <v>117000</v>
      </c>
      <c r="M6" s="48" t="inlineStr">
        <is>
          <t>LUNAS DITRANSFER ✅</t>
        </is>
      </c>
    </row>
    <row r="7">
      <c r="A7" s="13" t="n">
        <v>2</v>
      </c>
      <c r="B7" s="22" t="inlineStr">
        <is>
          <t>Oktober 2026</t>
        </is>
      </c>
      <c r="C7" s="13" t="inlineStr">
        <is>
          <t>2026-10-25</t>
        </is>
      </c>
      <c r="D7" s="13" t="inlineStr">
        <is>
          <t>Tri Wahyono</t>
        </is>
      </c>
      <c r="E7" s="13">
        <f>Dashboard!D9</f>
        <v/>
      </c>
      <c r="F7" s="37">
        <f>Dashboard!F13</f>
        <v/>
      </c>
      <c r="G7" s="15">
        <f>Dashboard!F16</f>
        <v/>
      </c>
      <c r="H7" s="15">
        <f>Dashboard!F17</f>
        <v/>
      </c>
      <c r="I7" s="37">
        <f>Dashboard!F18</f>
        <v/>
      </c>
      <c r="J7" s="15">
        <f>Dashboard!F22</f>
        <v/>
      </c>
      <c r="K7" s="15">
        <f>Dashboard!F23</f>
        <v/>
      </c>
      <c r="L7" s="15">
        <f>Dashboard!F24</f>
        <v/>
      </c>
      <c r="M7" s="25" t="inlineStr">
        <is>
          <t>BERJALAN (Tgl 25 Okt)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6" customWidth="1" min="5" max="5"/>
    <col width="26" customWidth="1" min="6" max="6"/>
    <col width="18" customWidth="1" min="7" max="7"/>
    <col width="22" customWidth="1" min="8" max="8"/>
  </cols>
  <sheetData>
    <row r="2">
      <c r="B2" s="1" t="inlineStr">
        <is>
          <t>SIMULATOR FINANSIAL &amp; PROYEKSI BEP SAKO MAKMUR WIFI</t>
        </is>
      </c>
    </row>
    <row r="3">
      <c r="B3" s="2" t="inlineStr">
        <is>
          <t>Eksperimen Skenario Jumlah Pelanggan, ARPU, Biaya OPEX, dan Waktu Balik Modal</t>
        </is>
      </c>
    </row>
    <row r="5">
      <c r="B5" s="4" t="inlineStr">
        <is>
          <t>PARAMETER SIMULASI (DAPAT DIUBAH)</t>
        </is>
      </c>
      <c r="F5" s="4" t="inlineStr">
        <is>
          <t>PROYEKSI HASIL KEUANGAN &amp; DIVIDEN</t>
        </is>
      </c>
    </row>
    <row r="6">
      <c r="B6" s="21" t="inlineStr">
        <is>
          <t>Target Jumlah Pelanggan (User)</t>
        </is>
      </c>
      <c r="C6" s="6" t="n"/>
      <c r="D6" s="49" t="n">
        <v>35</v>
      </c>
      <c r="F6" s="22" t="inlineStr">
        <is>
          <t>Proyeksi Omzet Kotor (Gross)</t>
        </is>
      </c>
      <c r="G6" s="6" t="n"/>
      <c r="H6" s="37">
        <f>D6*D7</f>
        <v/>
      </c>
    </row>
    <row r="7">
      <c r="B7" s="21" t="inlineStr">
        <is>
          <t>ARPU Rata-rata per User (Rp)</t>
        </is>
      </c>
      <c r="C7" s="6" t="n"/>
      <c r="D7" s="50" t="n">
        <v>150000</v>
      </c>
      <c r="F7" s="22" t="inlineStr">
        <is>
          <t>Proyeksi Fee Tagih Kolektor</t>
        </is>
      </c>
      <c r="G7" s="6" t="n"/>
      <c r="H7" s="37">
        <f>D6*D11</f>
        <v/>
      </c>
    </row>
    <row r="8">
      <c r="B8" s="21" t="inlineStr">
        <is>
          <t>Biaya Bulanan Starlink (Rp)</t>
        </is>
      </c>
      <c r="C8" s="6" t="n"/>
      <c r="D8" s="50" t="n">
        <v>850000</v>
      </c>
      <c r="F8" s="22" t="inlineStr">
        <is>
          <t>Cadangan Kas Siaga (10%)</t>
        </is>
      </c>
      <c r="G8" s="6" t="n"/>
      <c r="H8" s="37">
        <f>H6*D13</f>
        <v/>
      </c>
    </row>
    <row r="9">
      <c r="B9" s="21" t="inlineStr">
        <is>
          <t>Biaya Listrik PLN Node (Rp)</t>
        </is>
      </c>
      <c r="C9" s="6" t="n"/>
      <c r="D9" s="50" t="n">
        <v>300000</v>
      </c>
      <c r="F9" s="22" t="inlineStr">
        <is>
          <t>Total Beban OPEX</t>
        </is>
      </c>
      <c r="G9" s="6" t="n"/>
      <c r="H9" s="37">
        <f>D8+D9+D10+D12+H7+H8</f>
        <v/>
      </c>
    </row>
    <row r="10">
      <c r="B10" s="21" t="inlineStr">
        <is>
          <t>Gaji Operator Lapangan (Rp)</t>
        </is>
      </c>
      <c r="C10" s="6" t="n"/>
      <c r="D10" s="50" t="n">
        <v>1000000</v>
      </c>
      <c r="F10" s="51" t="inlineStr">
        <is>
          <t>Estimasi Laba Bersih (Net)</t>
        </is>
      </c>
      <c r="G10" s="52" t="n"/>
      <c r="H10" s="53">
        <f>MAX(0, H6-H9)</f>
        <v/>
      </c>
    </row>
    <row r="11">
      <c r="B11" s="21" t="inlineStr">
        <is>
          <t>Jasa Tagih per Pelanggan (Rp)</t>
        </is>
      </c>
      <c r="C11" s="6" t="n"/>
      <c r="D11" s="50" t="n">
        <v>5000</v>
      </c>
      <c r="F11" s="22" t="inlineStr">
        <is>
          <t>Profit Margin (%)</t>
        </is>
      </c>
      <c r="G11" s="6" t="n"/>
      <c r="H11" s="54">
        <f>H10/H6</f>
        <v/>
      </c>
    </row>
    <row r="12">
      <c r="B12" s="21" t="inlineStr">
        <is>
          <t>Komisi Marketing Bulanan (Rp)</t>
        </is>
      </c>
      <c r="C12" s="6" t="n"/>
      <c r="D12" s="50" t="n">
        <v>250000</v>
      </c>
    </row>
    <row r="13">
      <c r="B13" s="21" t="inlineStr">
        <is>
          <t>Cadangan Kas Maintenance (%)</t>
        </is>
      </c>
      <c r="C13" s="6" t="n"/>
      <c r="D13" s="55" t="n">
        <v>0.1</v>
      </c>
      <c r="F13" s="21" t="inlineStr">
        <is>
          <t>Dividen Ahmad Fauzi (60%)</t>
        </is>
      </c>
      <c r="G13" s="6" t="n"/>
      <c r="H13" s="56">
        <f>H10*0.60</f>
        <v/>
      </c>
    </row>
    <row r="14">
      <c r="F14" s="21" t="inlineStr">
        <is>
          <t>Dividen Anwar Khadafi S. (20%)</t>
        </is>
      </c>
      <c r="G14" s="6" t="n"/>
      <c r="H14" s="56">
        <f>H10*0.20</f>
        <v/>
      </c>
    </row>
    <row r="15">
      <c r="F15" s="21" t="inlineStr">
        <is>
          <t>Dividen Tri Wahyono (20%)</t>
        </is>
      </c>
      <c r="G15" s="6" t="n"/>
      <c r="H15" s="56">
        <f>H10*0.20</f>
        <v/>
      </c>
    </row>
    <row r="17">
      <c r="F17" s="21" t="inlineStr">
        <is>
          <t>Proyeksi Balik Modal (BEP)</t>
        </is>
      </c>
      <c r="G17" s="6" t="n"/>
      <c r="H17" s="57">
        <f>IF(H10&gt;0, Aset_CAPEX!G17/H10, "Tidak BEP")</f>
        <v/>
      </c>
    </row>
  </sheetData>
  <mergeCells count="20">
    <mergeCell ref="F11:G11"/>
    <mergeCell ref="F5:H5"/>
    <mergeCell ref="B7:C7"/>
    <mergeCell ref="F10:G10"/>
    <mergeCell ref="F6:G6"/>
    <mergeCell ref="F7:G7"/>
    <mergeCell ref="B12:C12"/>
    <mergeCell ref="B11:C11"/>
    <mergeCell ref="F15:G15"/>
    <mergeCell ref="B8:C8"/>
    <mergeCell ref="F17:G17"/>
    <mergeCell ref="F8:G8"/>
    <mergeCell ref="B13:C13"/>
    <mergeCell ref="B5:D5"/>
    <mergeCell ref="B10:C10"/>
    <mergeCell ref="F13:G13"/>
    <mergeCell ref="B9:C9"/>
    <mergeCell ref="F9:G9"/>
    <mergeCell ref="B6:C6"/>
    <mergeCell ref="F14:G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GENERATOR KWITANSI PEMBAYARAN INTERNET SAKO MAKMUR WIFI</t>
        </is>
      </c>
    </row>
    <row r="3">
      <c r="B3" s="2" t="inlineStr">
        <is>
          <t>Pilih Username PPPoE pelanggan di sel D5 untuk mencetak struk resmi otomatis</t>
        </is>
      </c>
    </row>
    <row r="5">
      <c r="B5" s="58" t="inlineStr">
        <is>
          <t>Pilih Username Pelanggan:</t>
        </is>
      </c>
      <c r="D5" s="59" t="inlineStr">
        <is>
          <t>sidiq-123</t>
        </is>
      </c>
    </row>
    <row r="7">
      <c r="B7" s="60" t="inlineStr">
        <is>
          <t>SAKO MAKMUR WIFI - BUKTI PEMBAYARAN IURAN INTERNET RESMI</t>
        </is>
      </c>
    </row>
    <row r="8">
      <c r="B8" s="61" t="inlineStr">
        <is>
          <t>Konsorsium Sako Makmur WiFi | Layanan Internet Desa Berkecepatan Tinggi</t>
        </is>
      </c>
    </row>
    <row r="10">
      <c r="B10" s="10" t="inlineStr">
        <is>
          <t>No. Kuitansi</t>
        </is>
      </c>
      <c r="C10" s="14">
        <f>"SMW-202610-" &amp; UPPER(D5)</f>
        <v/>
      </c>
      <c r="D10" s="6" t="n"/>
      <c r="E10" s="6" t="n"/>
      <c r="F10" s="6" t="n"/>
    </row>
    <row r="11">
      <c r="B11" s="14" t="inlineStr">
        <is>
          <t>Tanggal Terbit</t>
        </is>
      </c>
      <c r="C11" s="62">
        <f>TODAY()</f>
        <v/>
      </c>
      <c r="D11" s="6" t="n"/>
      <c r="E11" s="6" t="n"/>
      <c r="F11" s="6" t="n"/>
    </row>
    <row r="12">
      <c r="B12" s="14" t="inlineStr">
        <is>
          <t>Periode Langganan</t>
        </is>
      </c>
      <c r="C12" s="14" t="inlineStr">
        <is>
          <t>Oktober 2026</t>
        </is>
      </c>
      <c r="D12" s="6" t="n"/>
      <c r="E12" s="6" t="n"/>
      <c r="F12" s="6" t="n"/>
    </row>
    <row r="13">
      <c r="B13" s="14" t="inlineStr">
        <is>
          <t>Username PPPoE</t>
        </is>
      </c>
      <c r="C13" s="14">
        <f>D5</f>
        <v/>
      </c>
      <c r="D13" s="6" t="n"/>
      <c r="E13" s="6" t="n"/>
      <c r="F13" s="6" t="n"/>
    </row>
    <row r="14">
      <c r="B14" s="10" t="inlineStr">
        <is>
          <t>Nama Pelanggan</t>
        </is>
      </c>
      <c r="C14" s="10">
        <f>VLOOKUP(D5, Pelanggan!B6:M22, 2, FALSE)</f>
        <v/>
      </c>
      <c r="D14" s="6" t="n"/>
      <c r="E14" s="6" t="n"/>
      <c r="F14" s="6" t="n"/>
    </row>
    <row r="15">
      <c r="B15" s="14" t="inlineStr">
        <is>
          <t>Paket Layanan</t>
        </is>
      </c>
      <c r="C15" s="14">
        <f>VLOOKUP(D5, Pelanggan!B6:M22, 3, FALSE)</f>
        <v/>
      </c>
      <c r="D15" s="6" t="n"/>
      <c r="E15" s="6" t="n"/>
      <c r="F15" s="6" t="n"/>
    </row>
    <row r="16">
      <c r="B16" s="14" t="inlineStr">
        <is>
          <t>Bandwidth / Kecepatan</t>
        </is>
      </c>
      <c r="C16" s="14">
        <f>VLOOKUP(D5, Pelanggan!B6:M22, 4, FALSE)</f>
        <v/>
      </c>
      <c r="D16" s="6" t="n"/>
      <c r="E16" s="6" t="n"/>
      <c r="F16" s="6" t="n"/>
    </row>
    <row r="17">
      <c r="B17" s="14" t="inlineStr">
        <is>
          <t>Alamat / Lokasi</t>
        </is>
      </c>
      <c r="C17" s="14">
        <f>VLOOKUP(D5, Pelanggan!B6:M22, 12, FALSE)</f>
        <v/>
      </c>
      <c r="D17" s="6" t="n"/>
      <c r="E17" s="6" t="n"/>
      <c r="F17" s="6" t="n"/>
    </row>
    <row r="18">
      <c r="B18" s="14" t="inlineStr">
        <is>
          <t>Jatuh Tempo</t>
        </is>
      </c>
      <c r="C18" s="14" t="inlineStr">
        <is>
          <t>Tanggal 18 Oktober 2026</t>
        </is>
      </c>
      <c r="D18" s="6" t="n"/>
      <c r="E18" s="6" t="n"/>
      <c r="F18" s="6" t="n"/>
    </row>
    <row r="19">
      <c r="B19" s="10" t="inlineStr">
        <is>
          <t>Status Pembayaran</t>
        </is>
      </c>
      <c r="C19" s="63">
        <f>VLOOKUP(D5, Pelanggan!B6:M22, 8, FALSE)</f>
        <v/>
      </c>
      <c r="D19" s="6" t="n"/>
      <c r="E19" s="6" t="n"/>
      <c r="F19" s="6" t="n"/>
    </row>
    <row r="20">
      <c r="B20" s="14" t="inlineStr">
        <is>
          <t>Metode Pembayaran</t>
        </is>
      </c>
      <c r="C20" s="14">
        <f>VLOOKUP(D5, Pelanggan!B6:M22, 9, FALSE)</f>
        <v/>
      </c>
      <c r="D20" s="6" t="n"/>
      <c r="E20" s="6" t="n"/>
      <c r="F20" s="6" t="n"/>
    </row>
    <row r="21">
      <c r="B21" s="16" t="inlineStr">
        <is>
          <t>Total Tagihan / Iuran</t>
        </is>
      </c>
      <c r="C21" s="64">
        <f>VLOOKUP(D5, Pelanggan!B6:M22, 5, FALSE)</f>
        <v/>
      </c>
      <c r="D21" s="6" t="n"/>
      <c r="E21" s="6" t="n"/>
      <c r="F21" s="6" t="n"/>
    </row>
    <row r="23">
      <c r="B23" s="65" t="inlineStr">
        <is>
          <t>Diterima &amp; Diverifikasi oleh Bendahara / Pengelola (Mas Tri Wahyono)</t>
        </is>
      </c>
    </row>
    <row r="24">
      <c r="B24" s="66" t="inlineStr">
        <is>
          <t>Simpan kuitansi ini sebagai bukti pembayaran sah iuran bulanan internet Anda. Terima kasih!</t>
        </is>
      </c>
    </row>
  </sheetData>
  <mergeCells count="16">
    <mergeCell ref="C13:F13"/>
    <mergeCell ref="C18:F18"/>
    <mergeCell ref="B7:F7"/>
    <mergeCell ref="C17:F17"/>
    <mergeCell ref="B24:F24"/>
    <mergeCell ref="C20:F20"/>
    <mergeCell ref="C12:F12"/>
    <mergeCell ref="C21:F21"/>
    <mergeCell ref="C16:F16"/>
    <mergeCell ref="C15:F15"/>
    <mergeCell ref="B23:F23"/>
    <mergeCell ref="C11:F11"/>
    <mergeCell ref="B8:F8"/>
    <mergeCell ref="C10:F10"/>
    <mergeCell ref="C19:F19"/>
    <mergeCell ref="C14:F14"/>
  </mergeCells>
  <dataValidations count="1">
    <dataValidation sqref="D5" showDropDown="0" showInputMessage="0" showErrorMessage="0" allowBlank="0" type="list">
      <formula1>=Pelanggan!$B$6:$B$22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TEMPLATE LAPORAN WHATSAPP KONSORSIUM (FORMULA DINAMIS)</t>
        </is>
      </c>
    </row>
    <row r="3">
      <c r="B3" s="2" t="inlineStr">
        <is>
          <t>Teks laporan otomatis tersusun dari data riil. Siap disalin (Copy-Paste) ke WhatsApp Mas Tri.</t>
        </is>
      </c>
    </row>
    <row r="5">
      <c r="B5" s="4" t="inlineStr">
        <is>
          <t>A. DRAF LAPORAN PROGRES OKTOBER 2026 (UNTUK REVIEW MAS TRI)</t>
        </is>
      </c>
    </row>
    <row r="6">
      <c r="B6" s="67" t="inlineStr">
        <is>
          <t>⚠️ PERINGATAN SOP: Kirimkan draf ini HANYA ke WhatsApp Mas Tri untuk review. DILARANG kirim ke grup investor!</t>
        </is>
      </c>
    </row>
    <row r="8">
      <c r="B8" s="68">
        <f>"📊 *LAPORAN PROGRES PENAGIHAN SAKO MAKMUR WIFI*" &amp; CHAR(10) &amp; "🗓️ *Periode:* Oktober 2026 (Siklus Aktif)" &amp; CHAR(10) &amp; "──────────────" &amp; CHAR(10) &amp; "👥 *Pelanggan Lunas:* " &amp; Dashboard!D9 &amp; " dari " &amp; Dashboard!B9 &amp; " User (" &amp; TEXT(Dashboard!H9, "0.0%") &amp; ")" &amp; CHAR(10) &amp; "💵 *Kas Masuk Terkumpul:* " &amp; TEXT(Dashboard!F13, "Rp #,##0") &amp; CHAR(10) &amp; "🎯 *Target Potensi Penuh:* " &amp; TEXT(Dashboard!F14, "Rp #,##0") &amp; CHAR(10) &amp; "📉 *Total Beban OPEX:* " &amp; TEXT(Dashboard!F16, "Rp #,##0") &amp; CHAR(10) &amp; "🛡️ *Cadangan Kas (10%):* " &amp; TEXT(Dashboard!F17, "Rp #,##0") &amp; CHAR(10) &amp; "💰 *Estimasi Laba Bersih:* " &amp; TEXT(Dashboard!F18, "Rp #,##0") &amp; CHAR(10) &amp; "──────────────" &amp; CHAR(10) &amp; "🤝 *Proyeksi Dividen:* Fauzi (60%) " &amp; TEXT(Dashboard!F22, "Rp #,##0") &amp; " | Anwar (20%) " &amp; TEXT(Dashboard!F23, "Rp #,##0") &amp; " | Tri (20%) " &amp; TEXT(Dashboard!F24, "Rp #,##0") &amp; CHAR(10) &amp; "⚠️ Catatan: Draf internal untuk Mas Tri sebelum verifikasi kas fisik."</f>
        <v/>
      </c>
      <c r="C8" s="6" t="n"/>
      <c r="D8" s="6" t="n"/>
      <c r="E8" s="6" t="n"/>
      <c r="F8" s="6" t="n"/>
      <c r="G8" s="6" t="n"/>
      <c r="H8" s="6" t="n"/>
    </row>
    <row r="9">
      <c r="B9" s="6" t="n"/>
      <c r="C9" s="6" t="n"/>
      <c r="D9" s="6" t="n"/>
      <c r="E9" s="6" t="n"/>
      <c r="F9" s="6" t="n"/>
      <c r="G9" s="6" t="n"/>
      <c r="H9" s="6" t="n"/>
    </row>
    <row r="10">
      <c r="B10" s="6" t="n"/>
      <c r="C10" s="6" t="n"/>
      <c r="D10" s="6" t="n"/>
      <c r="E10" s="6" t="n"/>
      <c r="F10" s="6" t="n"/>
      <c r="G10" s="6" t="n"/>
      <c r="H10" s="6" t="n"/>
    </row>
    <row r="11">
      <c r="B11" s="6" t="n"/>
      <c r="C11" s="6" t="n"/>
      <c r="D11" s="6" t="n"/>
      <c r="E11" s="6" t="n"/>
      <c r="F11" s="6" t="n"/>
      <c r="G11" s="6" t="n"/>
      <c r="H11" s="6" t="n"/>
    </row>
    <row r="12">
      <c r="B12" s="6" t="n"/>
      <c r="C12" s="6" t="n"/>
      <c r="D12" s="6" t="n"/>
      <c r="E12" s="6" t="n"/>
      <c r="F12" s="6" t="n"/>
      <c r="G12" s="6" t="n"/>
      <c r="H12" s="6" t="n"/>
    </row>
    <row r="13">
      <c r="B13" s="6" t="n"/>
      <c r="C13" s="6" t="n"/>
      <c r="D13" s="6" t="n"/>
      <c r="E13" s="6" t="n"/>
      <c r="F13" s="6" t="n"/>
      <c r="G13" s="6" t="n"/>
      <c r="H13" s="6" t="n"/>
    </row>
    <row r="14">
      <c r="B14" s="6" t="n"/>
      <c r="C14" s="6" t="n"/>
      <c r="D14" s="6" t="n"/>
      <c r="E14" s="6" t="n"/>
      <c r="F14" s="6" t="n"/>
      <c r="G14" s="6" t="n"/>
      <c r="H14" s="6" t="n"/>
    </row>
    <row r="15">
      <c r="B15" s="6" t="n"/>
      <c r="C15" s="6" t="n"/>
      <c r="D15" s="6" t="n"/>
      <c r="E15" s="6" t="n"/>
      <c r="F15" s="6" t="n"/>
      <c r="G15" s="6" t="n"/>
      <c r="H15" s="6" t="n"/>
    </row>
    <row r="16">
      <c r="B16" s="6" t="n"/>
      <c r="C16" s="6" t="n"/>
      <c r="D16" s="6" t="n"/>
      <c r="E16" s="6" t="n"/>
      <c r="F16" s="6" t="n"/>
      <c r="G16" s="6" t="n"/>
      <c r="H16" s="6" t="n"/>
    </row>
    <row r="18">
      <c r="B18" s="4" t="inlineStr">
        <is>
          <t>B. TEKS RESMI TUTUP BUKU SEPTEMBER 2026 (ARSIP LUNAS DITRANSFER)</t>
        </is>
      </c>
    </row>
    <row r="19">
      <c r="B19" s="69" t="inlineStr">
        <is>
          <t>📊 *LAPORAN RESMI KEUANGAN &amp; DIVIDEN SAKO MAKMUR WIFI*
🗓️ *Periode:* September 2026
🔒 *Status:* TELAH DITUTUP &amp; LUNAS DITRANSFER ✅
Ditutup oleh: Tri Wahyono (Managing Owner)
───────────────────────
👥 *Pelanggan Lunas:* 11 dari 11 User Terdaftar
💵 *Total Kas Masuk:* Rp 2.600.000
📉 *Total Beban OPEX:* Rp 2.015.000
🛡️ *Dana Cadangan (10%):* Rp 260.000
───────────────────────
💰 *LABA BERSIH DIBAGIKAN:* Rp 585.000
🤝 *STATUS PENCAIRAN DIVIDEN:*
1. *Ahmad Fauzi* (60%): Rp 351.000 [LUNAS DITRANSFER ✅]
2. *Anwar Khadafi Saimona* (20%): Rp 117.000 [LUNAS DITRANSFER ✅]
3. *Tri Wahyono* (20%): Rp 117.000 [LUNAS DITRANSFER ✅]
───────────────────────
✅ *Seluruh dividen periode September telah selesai ditransfer ke rekening masing-masing investor.*</t>
        </is>
      </c>
      <c r="C19" s="6" t="n"/>
      <c r="D19" s="6" t="n"/>
      <c r="E19" s="6" t="n"/>
      <c r="F19" s="6" t="n"/>
      <c r="G19" s="6" t="n"/>
      <c r="H19" s="6" t="n"/>
    </row>
    <row r="20">
      <c r="B20" s="6" t="n"/>
      <c r="C20" s="6" t="n"/>
      <c r="D20" s="6" t="n"/>
      <c r="E20" s="6" t="n"/>
      <c r="F20" s="6" t="n"/>
      <c r="G20" s="6" t="n"/>
      <c r="H20" s="6" t="n"/>
    </row>
    <row r="21">
      <c r="B21" s="6" t="n"/>
      <c r="C21" s="6" t="n"/>
      <c r="D21" s="6" t="n"/>
      <c r="E21" s="6" t="n"/>
      <c r="F21" s="6" t="n"/>
      <c r="G21" s="6" t="n"/>
      <c r="H21" s="6" t="n"/>
    </row>
    <row r="22">
      <c r="B22" s="6" t="n"/>
      <c r="C22" s="6" t="n"/>
      <c r="D22" s="6" t="n"/>
      <c r="E22" s="6" t="n"/>
      <c r="F22" s="6" t="n"/>
      <c r="G22" s="6" t="n"/>
      <c r="H22" s="6" t="n"/>
    </row>
    <row r="23">
      <c r="B23" s="6" t="n"/>
      <c r="C23" s="6" t="n"/>
      <c r="D23" s="6" t="n"/>
      <c r="E23" s="6" t="n"/>
      <c r="F23" s="6" t="n"/>
      <c r="G23" s="6" t="n"/>
      <c r="H23" s="6" t="n"/>
    </row>
    <row r="24">
      <c r="B24" s="6" t="n"/>
      <c r="C24" s="6" t="n"/>
      <c r="D24" s="6" t="n"/>
      <c r="E24" s="6" t="n"/>
      <c r="F24" s="6" t="n"/>
      <c r="G24" s="6" t="n"/>
      <c r="H24" s="6" t="n"/>
    </row>
    <row r="25">
      <c r="B25" s="6" t="n"/>
      <c r="C25" s="6" t="n"/>
      <c r="D25" s="6" t="n"/>
      <c r="E25" s="6" t="n"/>
      <c r="F25" s="6" t="n"/>
      <c r="G25" s="6" t="n"/>
      <c r="H25" s="6" t="n"/>
    </row>
    <row r="26">
      <c r="B26" s="6" t="n"/>
      <c r="C26" s="6" t="n"/>
      <c r="D26" s="6" t="n"/>
      <c r="E26" s="6" t="n"/>
      <c r="F26" s="6" t="n"/>
      <c r="G26" s="6" t="n"/>
      <c r="H26" s="6" t="n"/>
    </row>
  </sheetData>
  <mergeCells count="3">
    <mergeCell ref="B6:H6"/>
    <mergeCell ref="B8:H16"/>
    <mergeCell ref="B19:H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>
      <c r="B2" s="1" t="inlineStr">
        <is>
          <t>STANDAR OPERASIONAL PROSEDUR &amp; ATURAN BISNIS KONSORSIUM</t>
        </is>
      </c>
    </row>
    <row r="3">
      <c r="B3" s="2" t="inlineStr">
        <is>
          <t>Pedoman Manajemen Kas, Penagihan, Proteksi Investor, dan Siklus Tutup Buku Sako Makmur WiFi</t>
        </is>
      </c>
    </row>
    <row r="5">
      <c r="B5" s="4" t="inlineStr">
        <is>
          <t>1. SIKLUS TANGGAL EMAS OPERASIONAL BULANAN</t>
        </is>
      </c>
    </row>
    <row r="6">
      <c r="B6" s="70" t="inlineStr">
        <is>
          <t>Tanggal 10</t>
        </is>
      </c>
      <c r="C6" s="32" t="inlineStr">
        <is>
          <t>Penerbitan Invoice Resmi: Tagihan dicetak / dibagikan ke seluruh pelanggan aktif.</t>
        </is>
      </c>
      <c r="D6" s="6" t="n"/>
      <c r="E6" s="6" t="n"/>
      <c r="F6" s="6" t="n"/>
      <c r="G6" s="6" t="n"/>
    </row>
    <row r="7">
      <c r="B7" s="70" t="inlineStr">
        <is>
          <t>Tanggal 18</t>
        </is>
      </c>
      <c r="C7" s="32" t="inlineStr">
        <is>
          <t>Batas Jatuh Tempo: Batas akhir pembayaran pelanggan. Pelanggan yang belum lunas disiapkan penagihan intensif / isolir manual.</t>
        </is>
      </c>
      <c r="D7" s="6" t="n"/>
      <c r="E7" s="6" t="n"/>
      <c r="F7" s="6" t="n"/>
      <c r="G7" s="6" t="n"/>
    </row>
    <row r="8">
      <c r="B8" s="70" t="inlineStr">
        <is>
          <t>Tanggal 25</t>
        </is>
      </c>
      <c r="C8" s="32" t="inlineStr">
        <is>
          <t>Tutup Buku Resmi &amp; Penyaluran Dividen: Laba bersih dihitung dan ditransfer langsung ke rekening 3 investor.</t>
        </is>
      </c>
      <c r="D8" s="6" t="n"/>
      <c r="E8" s="6" t="n"/>
      <c r="F8" s="6" t="n"/>
      <c r="G8" s="6" t="n"/>
    </row>
    <row r="10">
      <c r="B10" s="4" t="inlineStr">
        <is>
          <t>2. MANAJEMEN TIGA KANTONG KAS (3-POCKET CASH FLOW)</t>
        </is>
      </c>
    </row>
    <row r="11">
      <c r="B11" s="70" t="inlineStr">
        <is>
          <t>Kantong 1: Kas Operasional (OPEX)</t>
        </is>
      </c>
      <c r="C11" s="32" t="inlineStr">
        <is>
          <t>Membayar kewajiban rutin: Starlink Rp 850k, PLN Rp 300k, Operator Rp 500k, Marketing Rp 50k, Fee Kolektor Rp 5k/user.</t>
        </is>
      </c>
      <c r="D11" s="6" t="n"/>
      <c r="E11" s="6" t="n"/>
      <c r="F11" s="6" t="n"/>
      <c r="G11" s="6" t="n"/>
    </row>
    <row r="12">
      <c r="B12" s="70" t="inlineStr">
        <is>
          <t>Kantong 2: Cadangan Kas Maintenance (10%)</t>
        </is>
      </c>
      <c r="C12" s="32" t="inlineStr">
        <is>
          <t>Wajib disisihkan 10% dari omzet kas masuk ke rekening khusus cadangan untuk mitigasi petir, putus fiber, atau servis alat.</t>
        </is>
      </c>
      <c r="D12" s="6" t="n"/>
      <c r="E12" s="6" t="n"/>
      <c r="F12" s="6" t="n"/>
      <c r="G12" s="6" t="n"/>
    </row>
    <row r="13">
      <c r="B13" s="70" t="inlineStr">
        <is>
          <t>Kantong 3: Laba Bersih Siap Bagi (Dividen)</t>
        </is>
      </c>
      <c r="C13" s="32" t="inlineStr">
        <is>
          <t>Sisa kas bersih setelah dikurangi OPEX dan Cadangan Kas 10%. Dibagikan 60% Ahmad Fauzi, 20% Anwar Khadafi, 20% Tri Wahyono.</t>
        </is>
      </c>
      <c r="D13" s="6" t="n"/>
      <c r="E13" s="6" t="n"/>
      <c r="F13" s="6" t="n"/>
      <c r="G13" s="6" t="n"/>
    </row>
    <row r="15">
      <c r="B15" s="4" t="inlineStr">
        <is>
          <t>3. PENJAMINAN MODAL INVESTOR (CAPEX GUARANTEE)</t>
        </is>
      </c>
    </row>
    <row r="16">
      <c r="B16" s="70" t="inlineStr">
        <is>
          <t>Aset Fisik Jaringan</t>
        </is>
      </c>
      <c r="C16" s="32" t="inlineStr">
        <is>
          <t>Seluruh modal disetor (Rp 25.000.000) terwujud dalam bentuk aset fisik riil (Dish Starlink Gen 3, Router MikroTik, 2000m Dropcore FO, ODP, Tiang, UPS ICA).</t>
        </is>
      </c>
      <c r="D16" s="6" t="n"/>
      <c r="E16" s="6" t="n"/>
      <c r="F16" s="6" t="n"/>
      <c r="G16" s="6" t="n"/>
    </row>
    <row r="17">
      <c r="B17" s="70" t="inlineStr">
        <is>
          <t>Hak Investor</t>
        </is>
      </c>
      <c r="C17" s="32" t="inlineStr">
        <is>
          <t>Aset fisik berstatus jaminan modal investor jika konsorsium mengalami force majeure, proporsional sesuai saham masing-masing.</t>
        </is>
      </c>
      <c r="D17" s="6" t="n"/>
      <c r="E17" s="6" t="n"/>
      <c r="F17" s="6" t="n"/>
      <c r="G17" s="6" t="n"/>
    </row>
    <row r="19">
      <c r="B19" s="4" t="inlineStr">
        <is>
          <t>4. PROTOKOL DISTRIBUSI LAPORAN KONSORSIUM (SOP ANDINI / MAS TRI)</t>
        </is>
      </c>
    </row>
    <row r="20">
      <c r="B20" s="70" t="inlineStr">
        <is>
          <t>Human-in-the-Loop Review</t>
        </is>
      </c>
      <c r="C20" s="32" t="inlineStr">
        <is>
          <t>Sistem / Bot Andini DILARANG mengirimkan laporan keuangan langsung ke grup WhatsApp investor.</t>
        </is>
      </c>
      <c r="D20" s="6" t="n"/>
      <c r="E20" s="6" t="n"/>
      <c r="F20" s="6" t="n"/>
      <c r="G20" s="6" t="n"/>
    </row>
    <row r="21">
      <c r="B21" s="70" t="inlineStr">
        <is>
          <t>Validasi Pengelola</t>
        </is>
      </c>
      <c r="C21" s="32" t="inlineStr">
        <is>
          <t>Seluruh laporan wajib dikirimkan ke WhatsApp pribadi Mas Tri terlebih dahulu untuk direview dan diverifikasi kas fisiknya.</t>
        </is>
      </c>
      <c r="D21" s="6" t="n"/>
      <c r="E21" s="6" t="n"/>
      <c r="F21" s="6" t="n"/>
      <c r="G21" s="6" t="n"/>
    </row>
    <row r="22">
      <c r="B22" s="70" t="inlineStr">
        <is>
          <t>Transparansi Resmi</t>
        </is>
      </c>
      <c r="C22" s="32" t="inlineStr">
        <is>
          <t>Setelah disetujui Mas Tri, barulah laporan resmi dibagikan ke grup investor konsorsium.</t>
        </is>
      </c>
      <c r="D22" s="6" t="n"/>
      <c r="E22" s="6" t="n"/>
      <c r="F22" s="6" t="n"/>
      <c r="G22" s="6" t="n"/>
    </row>
  </sheetData>
  <mergeCells count="11">
    <mergeCell ref="C7:G7"/>
    <mergeCell ref="C21:G21"/>
    <mergeCell ref="C20:G20"/>
    <mergeCell ref="C12:G12"/>
    <mergeCell ref="C22:G22"/>
    <mergeCell ref="C6:G6"/>
    <mergeCell ref="C16:G16"/>
    <mergeCell ref="C11:G11"/>
    <mergeCell ref="C13:G13"/>
    <mergeCell ref="C8:G8"/>
    <mergeCell ref="C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2026-10-03T04:53:10Z</dcterms:created>
  <dcterms:modified xmlns:dcterms="http://purl.org/dc/terms/" xmlns:xsi="http://www.w3.org/2001/XMLSchema-instance" xsi:type="dcterms:W3CDTF">2026-10-03T04:53:10Z</dcterms:modified>
</cp:coreProperties>
</file>